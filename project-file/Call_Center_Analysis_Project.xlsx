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D:\Excel\Data Analysis\Project\"/>
    </mc:Choice>
  </mc:AlternateContent>
  <xr:revisionPtr revIDLastSave="0" documentId="13_ncr:1_{289E718E-5768-4E01-A7A0-A60776869B3F}" xr6:coauthVersionLast="47" xr6:coauthVersionMax="47" xr10:uidLastSave="{00000000-0000-0000-0000-000000000000}"/>
  <bookViews>
    <workbookView xWindow="-98" yWindow="-98" windowWidth="21795" windowHeight="13695" activeTab="3" xr2:uid="{26D4546B-D2A1-4444-8EAF-A6228F96F0C1}"/>
  </bookViews>
  <sheets>
    <sheet name="Data" sheetId="2" r:id="rId1"/>
    <sheet name="Assets" sheetId="7" r:id="rId2"/>
    <sheet name="Pivots" sheetId="6" r:id="rId3"/>
    <sheet name="Dashboard"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279" r:id="rId9"/>
    <pivotCache cacheId="1282" r:id="rId10"/>
    <pivotCache cacheId="1285" r:id="rId11"/>
    <pivotCache cacheId="1288" r:id="rId12"/>
    <pivotCache cacheId="1291"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5" i="6" l="1"/>
  <c r="M14" i="6" l="1" a="1"/>
  <c r="M14" i="6" s="1"/>
  <c r="K14" i="6" a="1"/>
  <c r="K14" i="6" s="1"/>
  <c r="M26" i="5"/>
  <c r="Q15" i="5" a="1"/>
  <c r="Q15" i="5" s="1"/>
  <c r="F72" i="6" a="1"/>
  <c r="F72" i="6" s="1"/>
  <c r="J54" i="6"/>
  <c r="J53" i="6"/>
  <c r="J52" i="6"/>
  <c r="J60" i="6" s="1"/>
  <c r="M27" i="5" s="1"/>
  <c r="E39" i="6"/>
  <c r="E39" i="6" a="1"/>
  <c r="H36" i="6"/>
  <c r="I42" i="6" s="1"/>
  <c r="P16" i="5" a="1"/>
  <c r="P16" i="5"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J57" i="6" l="1"/>
  <c r="J62" i="6" s="1"/>
  <c r="M29" i="5" s="1"/>
  <c r="J56" i="6"/>
  <c r="J61" i="6" s="1"/>
  <c r="M28" i="5" s="1"/>
  <c r="H43" i="6"/>
  <c r="I43" i="6"/>
  <c r="H39" i="6"/>
  <c r="I39" i="6"/>
  <c r="H40" i="6"/>
  <c r="I40" i="6"/>
  <c r="H41" i="6"/>
  <c r="I41" i="6"/>
  <c r="H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0EE303-0A13-410C-AB71-42A4FECC78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71BA8E-574B-4C88-9FEA-007AF1FD366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8BE0C01F-9740-43ED-9667-E3248720AEC4}"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<sst xmlns="http://schemas.openxmlformats.org/spreadsheetml/2006/main" count="3181" uniqueCount="1098">
  <si>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</si>
  <si>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</si>
  <si>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</si>
  <si>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</si>
  <si>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</si>
  <si>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</si>
  <si>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</si>
  <si>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</si>
  <si>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</si>
  <si>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</si>
  <si>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</si>
  <si>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</si>
  <si>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</si>
  <si>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</si>
  <si>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</si>
  <si>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</si>
  <si>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</si>
  <si>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</si>
  <si>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</si>
  <si>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</si>
  <si>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</si>
  <si>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</si>
  <si>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</si>
  <si>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</si>
  <si>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</si>
  <si>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</si>
  <si>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</si>
  <si>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</si>
  <si>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</si>
  <si>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</si>
  <si>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</si>
  <si>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</si>
  <si>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</si>
  <si>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</si>
  <si>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</si>
  <si>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</si>
  <si>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</si>
  <si>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</si>
  <si>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</si>
  <si>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</si>
  <si>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</si>
  <si>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</si>
  <si>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</si>
  <si>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</si>
  <si>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</si>
  <si>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</si>
  <si>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</si>
  <si>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</si>
  <si>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</si>
  <si>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</si>
  <si>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</si>
  <si>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</si>
  <si>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</si>
  <si>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</si>
  <si>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</si>
  <si>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</si>
  <si>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</si>
  <si>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</si>
  <si>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</si>
  <si>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</si>
  <si>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</si>
  <si>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</si>
  <si>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</si>
  <si>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</si>
  <si>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</si>
  <si>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</si>
  <si>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</si>
  <si>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</si>
  <si>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</si>
  <si>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</si>
  <si>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</si>
  <si>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</si>
  <si>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</si>
  <si>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</si>
  <si>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</si>
  <si>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</si>
  <si>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</si>
  <si>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</si>
  <si>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</si>
  <si>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</si>
  <si>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</si>
  <si>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</si>
  <si>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</si>
  <si>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</si>
  <si>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</si>
  <si>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</si>
  <si>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</si>
  <si>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</si>
  <si>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</si>
  <si>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</si>
  <si>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</si>
  <si>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</si>
  <si>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</si>
  <si>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</si>
  <si>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</si>
  <si>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</si>
  <si>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</si>
  <si>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</si>
  <si>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</si>
  <si>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</si>
  <si>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</si>
  <si>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</si>
  <si>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</si>
  <si>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</si>
  <si>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</si>
  <si>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</si>
  <si>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</si>
  <si>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</si>
  <si>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</si>
  <si>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</si>
  <si>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</si>
  <si>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</si>
  <si>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</si>
  <si>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</si>
  <si>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</si>
  <si>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</si>
  <si>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</si>
  <si>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</si>
  <si>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</si>
  <si>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</si>
  <si>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</si>
  <si>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</si>
  <si>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</si>
  <si>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</si>
  <si>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</si>
  <si>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</si>
  <si>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</si>
  <si>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</si>
  <si>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</si>
  <si>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</si>
  <si>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</si>
  <si>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</si>
  <si>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</si>
  <si>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</si>
  <si>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</si>
  <si>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</si>
  <si>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</si>
  <si>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</si>
  <si>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</si>
  <si>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</si>
  <si>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</si>
  <si>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</si>
  <si>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</si>
  <si>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</si>
  <si>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</si>
  <si>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</si>
  <si>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</si>
  <si>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</si>
  <si>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</si>
  <si>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</si>
  <si>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</si>
  <si>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</si>
  <si>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</si>
  <si>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</si>
  <si>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</si>
  <si>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</si>
  <si>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</si>
  <si>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</si>
  <si>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</si>
  <si>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</si>
  <si>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</si>
  <si>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</si>
  <si>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</si>
  <si>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</si>
  <si>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</si>
  <si>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</si>
  <si>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</si>
  <si>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</si>
  <si>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</si>
  <si>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</si>
  <si>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</si>
  <si>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</si>
  <si>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</si>
  <si>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</si>
  <si>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</si>
  <si>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</si>
  <si>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</si>
  <si>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</si>
  <si>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</si>
  <si>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</si>
  <si>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</si>
  <si>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</si>
  <si>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</si>
  <si>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</si>
  <si>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</si>
  <si>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</si>
  <si>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</si>
  <si>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</si>
  <si>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</si>
  <si>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</si>
  <si>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</si>
  <si>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</si>
  <si>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</si>
  <si>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</si>
  <si>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</si>
  <si>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</si>
  <si>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</si>
  <si>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</si>
  <si>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</si>
  <si>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</si>
  <si>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</si>
  <si>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</si>
  <si>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</si>
  <si>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</si>
  <si>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</si>
  <si>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</si>
  <si>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</si>
  <si>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</si>
  <si>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</si>
  <si>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</si>
  <si>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</si>
  <si>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</si>
  <si>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</si>
  <si>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</si>
  <si>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</si>
  <si>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</si>
  <si>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</si>
  <si>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</si>
  <si>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</si>
  <si>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</si>
  <si>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</si>
  <si>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</si>
  <si>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</si>
  <si>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</si>
  <si>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</si>
  <si>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</si>
  <si>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</si>
  <si>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</si>
  <si>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</si>
  <si>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</si>
  <si>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</si>
  <si>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</si>
  <si>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</si>
  <si>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</si>
  <si>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</si>
  <si>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</si>
  <si>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</si>
  <si>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</si>
  <si>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</si>
  <si>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</si>
  <si>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</si>
  <si>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</si>
  <si>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</si>
  <si>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</si>
  <si>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</si>
  <si>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</si>
  <si>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</si>
  <si>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</si>
  <si>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</si>
  <si>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</si>
  <si>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</si>
  <si>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</si>
  <si>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</si>
  <si>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</si>
  <si>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</si>
  <si>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</si>
  <si>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</si>
  <si>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</si>
  <si>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</si>
  <si>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</si>
  <si>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</si>
  <si>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</si>
  <si>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</si>
  <si>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</si>
  <si>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</si>
  <si>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</si>
  <si>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</si>
  <si>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</si>
  <si>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</si>
  <si>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</si>
  <si>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</si>
  <si>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</si>
  <si>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</si>
  <si>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</si>
  <si>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</si>
  <si>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</si>
  <si>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</si>
  <si>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</si>
  <si>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</si>
  <si>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</si>
  <si>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</si>
  <si>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</si>
  <si>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</si>
  <si>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</si>
  <si>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</si>
  <si>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</si>
  <si>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</si>
  <si>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</si>
  <si>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</si>
  <si>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</si>
  <si>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</si>
  <si>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</si>
  <si>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</si>
  <si>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</si>
  <si>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</si>
  <si>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</si>
  <si>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</si>
  <si>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</si>
  <si>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</si>
  <si>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</si>
  <si>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</si>
  <si>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</si>
  <si>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</si>
  <si>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</si>
  <si>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</si>
  <si>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</si>
  <si>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</si>
  <si>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</si>
  <si>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</si>
  <si>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</si>
  <si>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</si>
  <si>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</si>
  <si>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</si>
  <si>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</si>
  <si>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</si>
  <si>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</si>
  <si>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</si>
  <si>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</si>
  <si>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</si>
  <si>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</si>
  <si>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</si>
  <si>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</si>
  <si>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</si>
  <si>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</si>
  <si>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</si>
  <si>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</si>
  <si>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</si>
  <si>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</si>
  <si>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</si>
  <si>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</si>
  <si>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</si>
  <si>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</si>
  <si>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</si>
  <si>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</si>
  <si>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</si>
  <si>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</si>
  <si>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</si>
  <si>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</si>
  <si>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</si>
  <si>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</si>
  <si>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</si>
  <si>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</si>
  <si>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</si>
  <si>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</si>
  <si>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</si>
  <si>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</si>
  <si>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</si>
  <si>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</si>
  <si>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</si>
  <si>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</si>
  <si>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</si>
  <si>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</si>
  <si>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</si>
  <si>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</si>
  <si>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</si>
  <si>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</si>
  <si>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</si>
  <si>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</si>
  <si>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</si>
  <si>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</si>
  <si>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</si>
  <si>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</si>
  <si>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</si>
  <si>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</si>
  <si>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</si>
  <si>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</si>
  <si>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</si>
  <si>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</si>
  <si>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</si>
  <si>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</si>
  <si>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</si>
  <si>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</si>
  <si>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</si>
  <si>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</si>
  <si>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</si>
  <si>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</si>
  <si>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</si>
  <si>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</si>
  <si>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</si>
  <si>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</si>
  <si>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</si>
  <si>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</si>
  <si>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</si>
  <si>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</si>
  <si>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</si>
  <si>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</si>
  <si>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</si>
  <si>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</si>
  <si>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</si>
  <si>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</si>
  <si>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</si>
  <si>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</si>
  <si>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</si>
  <si>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</si>
  <si>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</si>
  <si>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</si>
  <si>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</si>
  <si>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</si>
  <si>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</si>
  <si>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</si>
  <si>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</si>
  <si>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</si>
  <si>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</si>
  <si>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</si>
  <si>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</si>
  <si>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</si>
  <si>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</si>
  <si>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</si>
  <si>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</si>
  <si>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</si>
  <si>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</si>
  <si>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</si>
  <si>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</si>
  <si>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</si>
  <si>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</si>
  <si>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</si>
  <si>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</si>
  <si>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</si>
  <si>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</si>
  <si>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</si>
  <si>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</si>
  <si>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</si>
  <si>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</si>
  <si>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</si>
  <si>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</si>
  <si>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</si>
  <si>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</si>
  <si>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</si>
  <si>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</si>
  <si>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</si>
  <si>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</si>
  <si>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</si>
  <si>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</si>
  <si>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</si>
  <si>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</si>
  <si>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</si>
  <si>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</si>
  <si>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</si>
  <si>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</si>
  <si>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</si>
  <si>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</si>
  <si>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</si>
  <si>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</si>
  <si>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</si>
  <si>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</si>
  <si>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</si>
  <si>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</si>
  <si>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</si>
  <si>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</si>
  <si>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</si>
  <si>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</si>
  <si>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</si>
  <si>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</si>
  <si>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</si>
  <si>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</si>
  <si>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</si>
  <si>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</si>
  <si>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</si>
  <si>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</si>
  <si>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</si>
  <si>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</si>
  <si>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</si>
  <si>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</si>
  <si>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</si>
  <si>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</si>
  <si>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</si>
  <si>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</si>
  <si>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</si>
  <si>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</si>
  <si>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</si>
  <si>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</si>
  <si>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</si>
  <si>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</si>
  <si>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</si>
  <si>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</si>
  <si>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</si>
  <si>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</si>
  <si>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</si>
  <si>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</si>
  <si>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</si>
  <si>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</si>
  <si>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</si>
  <si>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</si>
  <si>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</si>
  <si>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</si>
  <si>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</si>
  <si>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</si>
  <si>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</si>
  <si>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</si>
  <si>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</si>
  <si>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</si>
  <si>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</si>
  <si>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</si>
  <si>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</si>
  <si>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</si>
  <si>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</si>
  <si>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</si>
  <si>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</si>
  <si>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</si>
  <si>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</si>
  <si>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</si>
  <si>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</si>
  <si>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</si>
  <si>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</si>
  <si>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</si>
  <si>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</si>
  <si>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</si>
  <si>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</si>
  <si>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</si>
  <si>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</si>
  <si>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</si>
  <si>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</si>
  <si>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</si>
  <si>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</si>
  <si>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</si>
  <si>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</si>
  <si>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</si>
  <si>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</si>
  <si>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</si>
  <si>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</si>
  <si>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</si>
  <si>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</si>
  <si>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</si>
  <si>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</si>
  <si>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</si>
  <si>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</si>
  <si>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</si>
  <si>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</si>
  <si>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</si>
  <si>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</si>
  <si>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</si>
  <si>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</si>
  <si>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</si>
  <si>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</si>
  <si>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</si>
  <si>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</si>
  <si>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</si>
  <si>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</si>
  <si>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</si>
  <si>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</si>
  <si>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</si>
  <si>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</si>
  <si>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</si>
  <si>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</si>
  <si>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</si>
  <si>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</si>
  <si>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</si>
  <si>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</si>
  <si>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</si>
  <si>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</si>
  <si>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</si>
  <si>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</si>
  <si>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</si>
  <si>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</si>
  <si>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</si>
  <si>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</si>
  <si>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</si>
  <si>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</si>
  <si>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</si>
  <si>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</si>
  <si>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</si>
  <si>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</si>
  <si>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</si>
  <si>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</si>
  <si>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</si>
  <si>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</si>
  <si>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</si>
  <si>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</si>
  <si>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</si>
  <si>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</si>
  <si>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</si>
  <si>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</si>
  <si>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</si>
  <si>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</si>
  <si>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</si>
  <si>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</si>
  <si>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</si>
  <si>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</si>
  <si>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</si>
  <si>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</si>
  <si>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</si>
  <si>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</si>
  <si>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</si>
  <si>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</si>
  <si>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</si>
  <si>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</si>
  <si>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</si>
  <si>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</si>
  <si>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</si>
  <si>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</si>
  <si>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</si>
  <si>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</si>
  <si>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</si>
  <si>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</si>
  <si>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</si>
  <si>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</si>
  <si>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</si>
  <si>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</si>
  <si>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</si>
  <si>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</si>
  <si>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</si>
  <si>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</si>
  <si>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</si>
  <si>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</si>
  <si>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</si>
  <si>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</si>
  <si>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</si>
  <si>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</si>
  <si>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</si>
  <si>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</si>
  <si>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</si>
  <si>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</si>
  <si>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</si>
  <si>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</si>
  <si>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</si>
  <si>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</si>
  <si>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</si>
  <si>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</si>
  <si>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</si>
  <si>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</si>
  <si>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</si>
  <si>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</si>
  <si>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</si>
  <si>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</si>
  <si>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</si>
  <si>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</si>
  <si>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</si>
  <si>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</si>
  <si>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</si>
  <si>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</si>
  <si>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</si>
  <si>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</si>
  <si>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</si>
  <si>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</si>
  <si>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</si>
  <si>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</si>
  <si>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</si>
  <si>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</si>
  <si>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</si>
  <si>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</si>
  <si>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</si>
  <si>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</si>
  <si>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</si>
  <si>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</si>
  <si>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</si>
  <si>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</si>
  <si>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</si>
  <si>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</si>
  <si>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</si>
  <si>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</si>
  <si>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</si>
  <si>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</si>
  <si>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</si>
  <si>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</si>
  <si>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</si>
  <si>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</si>
  <si>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</si>
  <si>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</si>
  <si>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</si>
  <si>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</si>
  <si>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</si>
  <si>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</si>
  <si>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</si>
  <si>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</si>
  <si>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</si>
  <si>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</si>
  <si>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</si>
  <si>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</si>
  <si>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</si>
  <si>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</si>
  <si>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</si>
  <si>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</si>
  <si>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</si>
  <si>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</si>
  <si>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</si>
  <si>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</si>
  <si>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</si>
  <si>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</si>
  <si>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</si>
  <si>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</si>
  <si>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</si>
  <si>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</si>
  <si>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</si>
  <si>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</si>
  <si>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</si>
  <si>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</si>
  <si>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</si>
  <si>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</si>
  <si>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</si>
  <si>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</si>
  <si>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</si>
  <si>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</si>
  <si>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</si>
  <si>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</si>
  <si>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</si>
  <si>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</si>
  <si>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</si>
  <si>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</si>
  <si>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</si>
  <si>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</si>
  <si>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</si>
  <si>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</si>
  <si>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</si>
  <si>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</si>
  <si>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</si>
  <si>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</si>
  <si>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</si>
  <si>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</si>
  <si>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</si>
  <si>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</si>
  <si>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</si>
  <si>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</si>
  <si>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</si>
  <si>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</si>
  <si>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</si>
  <si>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</si>
  <si>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</si>
  <si>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</si>
  <si>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</si>
  <si>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</si>
  <si>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</si>
  <si>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</si>
  <si>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</si>
  <si>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</si>
  <si>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</si>
  <si>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</si>
  <si>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</si>
  <si>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</si>
  <si>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</si>
  <si>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</si>
  <si>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</si>
  <si>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</si>
  <si>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</si>
  <si>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</si>
  <si>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</si>
  <si>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</si>
  <si>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</si>
  <si>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</si>
  <si>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</si>
  <si>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</si>
  <si>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</si>
  <si>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</si>
  <si>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</si>
  <si>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</si>
  <si>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</si>
  <si>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</si>
  <si>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</si>
  <si>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</si>
  <si>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</si>
  <si>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</si>
  <si>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</si>
  <si>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</si>
  <si>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</si>
  <si>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</si>
  <si>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</si>
  <si>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</si>
  <si>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</si>
  <si>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</si>
  <si>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</si>
  <si>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</si>
  <si>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</si>
  <si>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</si>
  <si>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</si>
  <si>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</si>
  <si>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</si>
  <si>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</si>
  <si>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</si>
  <si>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</si>
  <si>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</si>
  <si>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</si>
  <si>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</si>
  <si>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</si>
  <si>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</si>
  <si>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</si>
  <si>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</si>
  <si>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</si>
  <si>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</si>
  <si>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</si>
  <si>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</si>
  <si>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</si>
  <si>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</si>
  <si>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</si>
  <si>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</si>
  <si>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</si>
  <si>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</si>
  <si>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</si>
  <si>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</si>
  <si>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</si>
  <si>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</si>
  <si>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</si>
  <si>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</si>
  <si>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</si>
  <si>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</si>
  <si>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</si>
  <si>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</si>
  <si>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</si>
  <si>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</si>
  <si>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</si>
  <si>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</si>
  <si>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</si>
  <si>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</si>
  <si>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</si>
  <si>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</si>
  <si>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</si>
  <si>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</si>
  <si>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</si>
  <si>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</si>
  <si>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</si>
  <si>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</si>
  <si>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</si>
  <si>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</si>
  <si>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</si>
  <si>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</si>
  <si>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</si>
  <si>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</si>
  <si>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</si>
  <si>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</si>
  <si>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</si>
  <si>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</si>
  <si>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</si>
  <si>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</si>
  <si>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</si>
  <si>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</si>
  <si>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</si>
  <si>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</si>
  <si>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</si>
  <si>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</si>
  <si>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</si>
  <si>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</si>
  <si>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</si>
  <si>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</si>
  <si>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</si>
  <si>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</si>
  <si>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</si>
  <si>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</si>
  <si>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</si>
  <si>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</si>
  <si>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</si>
  <si>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</si>
  <si>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</si>
  <si>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</si>
  <si>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</si>
  <si>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</si>
  <si>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</si>
  <si>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</si>
  <si>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</si>
  <si>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</si>
  <si>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</si>
  <si>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</si>
  <si>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</si>
  <si>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</si>
  <si>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</si>
  <si>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</si>
  <si>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</si>
  <si>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</si>
  <si>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</si>
  <si>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</si>
  <si>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</si>
  <si>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</si>
  <si>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</si>
  <si>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</si>
  <si>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</si>
  <si>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</si>
  <si>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</si>
  <si>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</si>
  <si>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</si>
  <si>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</si>
  <si>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</si>
  <si>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</si>
  <si>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</si>
  <si>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</si>
  <si>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</si>
  <si>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</si>
  <si>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</si>
  <si>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</si>
  <si>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</si>
  <si>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</si>
  <si>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</si>
  <si>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</si>
  <si>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</si>
  <si>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</si>
  <si>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</si>
  <si>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</si>
  <si>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</si>
  <si>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</si>
  <si>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</si>
  <si>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</si>
  <si>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</si>
  <si>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</si>
  <si>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</si>
  <si>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</si>
  <si>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</si>
  <si>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</si>
  <si>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</si>
  <si>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</si>
  <si>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</si>
  <si>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</si>
  <si>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</si>
  <si>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</si>
  <si>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</si>
  <si>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</si>
  <si>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</si>
  <si>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</si>
  <si>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</si>
  <si>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</si>
  <si>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</si>
  <si>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</si>
  <si>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</si>
  <si>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</si>
  <si>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</si>
  <si>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</si>
  <si>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</si>
  <si>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</si>
  <si>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</si>
  <si>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</si>
  <si>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</si>
  <si>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</si>
  <si>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</si>
  <si>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</si>
  <si>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</si>
  <si>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</si>
  <si>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</si>
  <si>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</si>
  <si>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</si>
  <si>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</si>
  <si>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</si>
  <si>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</si>
  <si>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</si>
  <si>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</si>
  <si>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</si>
  <si>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</si>
  <si>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</si>
  <si>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</si>
  <si>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</si>
  <si>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</si>
  <si>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</si>
  <si>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</si>
  <si>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</si>
  <si>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</si>
  <si>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</si>
  <si>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</si>
  <si>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</si>
  <si>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</si>
  <si>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</si>
  <si>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</si>
  <si>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</si>
  <si>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</si>
  <si>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</si>
  <si>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</si>
  <si>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</si>
  <si>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</si>
  <si>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</si>
  <si>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</si>
  <si>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</si>
  <si>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</si>
  <si>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</si>
  <si>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</si>
  <si>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</si>
  <si>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</si>
  <si>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</si>
  <si>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</si>
  <si>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</si>
  <si>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</si>
  <si>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</si>
  <si>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</si>
  <si>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</si>
  <si>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</si>
  <si>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</si>
  <si>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</si>
  <si>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</si>
  <si>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</si>
  <si>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</si>
  <si>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</si>
  <si>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</si>
  <si>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</si>
  <si>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</si>
  <si>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</si>
  <si>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</si>
  <si>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</si>
  <si>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</si>
  <si>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</si>
  <si>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</si>
  <si>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</si>
  <si>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</si>
  <si>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</si>
  <si>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</si>
  <si>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</si>
  <si>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</si>
  <si>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</si>
  <si>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</si>
  <si>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</si>
  <si>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</si>
  <si>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</si>
  <si>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</si>
  <si>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</si>
  <si>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</si>
  <si>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</si>
  <si>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</si>
  <si>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</si>
  <si>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</si>
  <si>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</si>
  <si>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</si>
  <si>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</si>
  <si>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</si>
  <si>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</si>
  <si>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</si>
  <si>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</si>
  <si>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</si>
  <si>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</si>
  <si>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</si>
  <si>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</si>
  <si>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</si>
  <si>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</si>
  <si>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</si>
  <si>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</si>
  <si>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</si>
  <si>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</si>
  <si>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</si>
  <si>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</si>
  <si>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</si>
  <si>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</si>
  <si>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</si>
  <si>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</si>
  <si>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</si>
  <si>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</si>
  <si>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</si>
  <si>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</si>
  <si>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</si>
  <si>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</si>
  <si>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</si>
  <si>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</si>
  <si>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</si>
  <si>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</si>
  <si>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</si>
  <si>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</si>
  <si>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</si>
  <si>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</si>
  <si>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</si>
  <si>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</si>
  <si>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</si>
  <si>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</si>
  <si>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</si>
  <si>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 </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</si>
  <si>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</si>
  <si>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</si>
  <si>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</si>
  <si>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</si>
  <si>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</si>
  <si>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</si>
  <si>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</si>
  <si>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</si>
  <si>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</si>
  <si>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</si>
  <si>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</si>
  <si>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</si>
  <si>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</si>
  <si>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</si>
  <si>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</si>
  <si>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</si>
  <si>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</si>
  <si>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</si>
  <si>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</si>
  <si>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</si>
  <si>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</si>
  <si>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</si>
  <si>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</si>
  <si>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</si>
  <si>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</si>
  <si>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</si>
  <si>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</si>
  <si>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</si>
  <si>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t>
  </si>
  <si>
    <t>Reps</t>
  </si>
  <si>
    <t>Calls</t>
  </si>
  <si>
    <t>Amount</t>
  </si>
  <si>
    <t>selected reps</t>
  </si>
  <si>
    <t>Sel. Calss</t>
  </si>
  <si>
    <t>Sel. Amount</t>
  </si>
  <si>
    <t>Column Labels</t>
  </si>
  <si>
    <t>Count of Call number</t>
  </si>
  <si>
    <t>Count of Customer ID</t>
  </si>
  <si>
    <t>11. Rating Distribution using Histograms</t>
  </si>
  <si>
    <t>Rating</t>
  </si>
  <si>
    <t>Rep Summary</t>
  </si>
  <si>
    <t xml:space="preserve">Calls  </t>
  </si>
  <si>
    <t>% of calls</t>
  </si>
  <si>
    <t xml:space="preserve">Amount </t>
  </si>
  <si>
    <t>Call Rank</t>
  </si>
  <si>
    <t>Amount Rank</t>
  </si>
  <si>
    <t>Labels:</t>
  </si>
  <si>
    <t>Image:</t>
  </si>
  <si>
    <t>TOTAL</t>
  </si>
  <si>
    <t>Max Calls</t>
  </si>
  <si>
    <t>Week-Days</t>
  </si>
  <si>
    <t>Calls nos</t>
  </si>
  <si>
    <t>formula: IF($H$14:H20=MAX($H$14:H20),$H$14:$H$20," ")</t>
  </si>
  <si>
    <t>demo chart --&gt;</t>
  </si>
  <si>
    <t>IF(COUNTA(A51:A55)&gt;1,"",XLOOKUP(A51,#REF!E3:E7,#REF!F3:F7,"",0))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</si>
</sst>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k"/>
    <numFmt numFmtId="168" formatCode="[$$-409]#,##0_ ;\-[$$-409]#,##0\ "/>
    <numFmt numFmtId="169" formatCode="&quot;₹&quot;\ #,##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1"/>
      <color theme="1"/>
      <name val="Aptos"/>
      <family val="2"/>
      <scheme val="minor"/>
    </font>
    <font>
      <sz val="20"/>
      <color theme="1"/>
      <name val="Aptos"/>
      <family val="2"/>
      <scheme val="minor"/>
    </font>
    <font>
      <b/>
      <sz val="12"/>
      <color theme="1"/>
      <name val="Aptos"/>
      <family val="2"/>
      <scheme val="minor"/>
    </font>
    <font>
      <sz val="14"/>
      <color theme="1"/>
      <name val="Aptos"/>
      <family val="2"/>
      <scheme val="minor"/>
    </font>
  </fonts>
  <fills count="8">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tint="0.79998168889431442"/>
        <bgColor indexed="64"/>
      </patternFill>
    </fill>
    <fill>
      <patternFill patternType="solid">
        <fgColor rgb="FFD6D6D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5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0" fillId="4" borderId="0" xfId="0" applyFill="1" applyAlignment="1">
      <alignment horizontal="center"/>
    </xf>
    <xf numFmtId="0" fontId="1" fillId="0" borderId="0" xfId="0" applyFont="1" applyAlignment="1">
      <alignment horizontal="left"/>
    </xf>
    <xf numFmtId="0" fontId="0" fillId="0" borderId="0" xfId="0" applyAlignment="1">
      <alignment horizontal="left" indent="1"/>
    </xf>
    <xf numFmtId="0" fontId="0" fillId="0" borderId="0" xfId="0" applyAlignment="1">
      <alignment vertical="center" wrapText="1"/>
    </xf>
    <xf numFmtId="0" fontId="1" fillId="0" borderId="0" xfId="0" applyFont="1" applyAlignment="1">
      <alignment horizontal="right" vertical="center" wrapText="1"/>
    </xf>
    <xf numFmtId="0" fontId="1" fillId="0" borderId="10" xfId="0" applyFont="1" applyBorder="1" applyAlignment="1">
      <alignment horizontal="left"/>
    </xf>
    <xf numFmtId="0" fontId="1" fillId="0" borderId="10" xfId="0" applyFont="1" applyBorder="1"/>
    <xf numFmtId="167" fontId="0" fillId="0" borderId="0" xfId="0" applyNumberFormat="1" applyAlignment="1">
      <alignment horizontal="center"/>
    </xf>
    <xf numFmtId="9" fontId="0" fillId="0" borderId="0" xfId="1" applyFont="1"/>
    <xf numFmtId="169" fontId="0" fillId="0" borderId="0" xfId="1" applyNumberFormat="1" applyFont="1"/>
    <xf numFmtId="0" fontId="6" fillId="0" borderId="0" xfId="0" applyFont="1"/>
    <xf numFmtId="0" fontId="7" fillId="0" borderId="0" xfId="0" applyFont="1"/>
    <xf numFmtId="0" fontId="1" fillId="3" borderId="0" xfId="0" applyFont="1" applyFill="1" applyAlignment="1">
      <alignment horizontal="left" indent="1"/>
    </xf>
    <xf numFmtId="0" fontId="6" fillId="3" borderId="0" xfId="0" applyFont="1" applyFill="1" applyAlignment="1">
      <alignment horizontal="right" indent="2"/>
    </xf>
    <xf numFmtId="0" fontId="0" fillId="0" borderId="0" xfId="0" applyNumberFormat="1"/>
    <xf numFmtId="0" fontId="0" fillId="5" borderId="0" xfId="0" applyFill="1" applyAlignment="1">
      <alignment horizontal="center"/>
    </xf>
    <xf numFmtId="0" fontId="1" fillId="6" borderId="0" xfId="0" applyFont="1" applyFill="1"/>
    <xf numFmtId="0" fontId="4" fillId="6" borderId="0" xfId="0" applyFont="1" applyFill="1"/>
    <xf numFmtId="0" fontId="0" fillId="6" borderId="0" xfId="0" applyFill="1"/>
    <xf numFmtId="168" fontId="4" fillId="6" borderId="0" xfId="0" applyNumberFormat="1" applyFont="1" applyFill="1" applyAlignment="1">
      <alignment horizontal="right"/>
    </xf>
    <xf numFmtId="0" fontId="4" fillId="6" borderId="0" xfId="0" applyFont="1" applyFill="1" applyAlignment="1">
      <alignment horizontal="left" indent="1"/>
    </xf>
    <xf numFmtId="0" fontId="1" fillId="7" borderId="0" xfId="0" applyFont="1" applyFill="1"/>
    <xf numFmtId="0" fontId="8" fillId="0" borderId="0" xfId="0" applyFont="1"/>
  </cellXfs>
  <cellStyles count="2">
    <cellStyle name="Normal" xfId="0" builtinId="0"/>
    <cellStyle name="Percent" xfId="1" builtinId="5"/>
  </cellStyles>
  <dxfs count="32">
    <dxf>
      <fill>
        <patternFill patternType="solid">
          <bgColor theme="8" tint="0.39997558519241921"/>
        </patternFill>
      </fill>
    </dxf>
    <dxf>
      <alignment horizontal="center"/>
    </dxf>
    <dxf>
      <fill>
        <patternFill patternType="solid">
          <bgColor theme="8" tint="0.39997558519241921"/>
        </patternFill>
      </fill>
    </dxf>
    <dxf>
      <alignment horizontal="center"/>
    </dxf>
    <dxf>
      <fill>
        <patternFill patternType="solid">
          <bgColor theme="8" tint="0.39997558519241921"/>
        </patternFill>
      </fill>
    </dxf>
    <dxf>
      <alignment horizontal="center"/>
    </dxf>
    <dxf>
      <fill>
        <patternFill>
          <bgColor theme="3"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2" tint="-0.499984740745262"/>
        </patternFill>
      </fill>
    </dxf>
    <dxf>
      <fill>
        <patternFill patternType="solid">
          <bgColor theme="8" tint="0.39997558519241921"/>
        </patternFill>
      </fill>
    </dxf>
    <dxf>
      <alignment horizontal="center"/>
    </dxf>
    <dxf>
      <fill>
        <patternFill patternType="solid">
          <bgColor theme="8" tint="0.39997558519241921"/>
        </patternFill>
      </fill>
    </dxf>
    <dxf>
      <alignment horizontal="center"/>
    </dxf>
    <dxf>
      <font>
        <b/>
        <color theme="1"/>
      </font>
      <border>
        <bottom style="thin">
          <color theme="7"/>
        </bottom>
        <vertical/>
        <horizontal/>
      </border>
    </dxf>
    <dxf>
      <font>
        <color theme="1"/>
      </font>
      <fill>
        <patternFill patternType="solid">
          <bgColor theme="9" tint="0.7999816888943144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patternType="solid">
          <bgColor theme="8" tint="0.39997558519241921"/>
        </patternFill>
      </fill>
    </dxf>
    <dxf>
      <alignment horizontal="cent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Custom__2" pivot="0" table="0" count="10" xr9:uid="{ED2F63EB-4ECE-42E3-AC92-C07DDA580325}">
      <tableStyleElement type="wholeTable" dxfId="14"/>
      <tableStyleElement type="headerRow" dxfId="13"/>
    </tableStyle>
    <tableStyle name="Slicer Style 1" pivot="0" table="0" count="1" xr9:uid="{25BABDA2-DB3D-41F6-98D0-3EE7CBB0176F}">
      <tableStyleElement type="wholeTable" dxfId="31"/>
    </tableStyle>
  </tableStyles>
  <colors>
    <mruColors>
      <color rgb="FFD6D6D6"/>
      <color rgb="FF8591D7"/>
      <color rgb="FF333333"/>
      <color rgb="FF5B64B6"/>
      <color rgb="FFEEF2FF"/>
      <color rgb="FFF8F9FC"/>
      <color rgb="FF6675CC"/>
      <color rgb="FF3949AB"/>
      <color rgb="FF000000"/>
      <color rgb="FF42A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mediumGray">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color theme="0"/>
          </font>
          <fill>
            <patternFill patternType="mediumGray">
              <fgColor theme="7"/>
              <bgColor theme="5" tint="-0.24994659260841701"/>
            </patternFill>
          </fill>
          <border>
            <left style="thin">
              <color theme="7" tint="-0.24994659260841701"/>
            </left>
            <right style="thin">
              <color theme="7" tint="-0.24994659260841701"/>
            </right>
            <top style="thin">
              <color theme="7" tint="-0.24994659260841701"/>
            </top>
            <bottom style="thin">
              <color theme="7" tint="-0.24994659260841701"/>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__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 Project.xlsx]Pivots!weekday trend</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64B6">
              <a:alpha val="77647"/>
            </a:srgbClr>
          </a:solidFill>
          <a:ln w="9525" cap="rnd">
            <a:solidFill>
              <a:schemeClr val="tx1">
                <a:lumMod val="75000"/>
                <a:lumOff val="25000"/>
              </a:schemeClr>
            </a:solidFill>
            <a:prstDash val="solid"/>
            <a:round/>
          </a:ln>
          <a:effectLst>
            <a:outerShdw blurRad="50800" dist="63500" dir="3600000" algn="ctr" rotWithShape="0">
              <a:schemeClr val="tx2">
                <a:lumMod val="75000"/>
                <a:alpha val="5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64B6">
              <a:alpha val="77647"/>
            </a:srgbClr>
          </a:solidFill>
          <a:ln w="9525" cap="rnd">
            <a:solidFill>
              <a:schemeClr val="tx1">
                <a:lumMod val="75000"/>
                <a:lumOff val="25000"/>
              </a:schemeClr>
            </a:solidFill>
            <a:prstDash val="solid"/>
            <a:round/>
          </a:ln>
          <a:effectLst>
            <a:outerShdw blurRad="50800" dist="63500" dir="3600000" algn="ctr" rotWithShape="0">
              <a:schemeClr val="tx2">
                <a:lumMod val="75000"/>
                <a:alpha val="5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64B6">
              <a:alpha val="78000"/>
            </a:srgbClr>
          </a:solidFill>
          <a:ln w="9525" cap="rnd">
            <a:solidFill>
              <a:schemeClr val="tx1">
                <a:lumMod val="75000"/>
                <a:lumOff val="25000"/>
              </a:schemeClr>
            </a:solidFill>
            <a:prstDash val="solid"/>
            <a:round/>
          </a:ln>
          <a:effectLst>
            <a:outerShdw blurRad="50800" dist="63500" dir="3600000" algn="ctr" rotWithShape="0">
              <a:schemeClr val="tx2">
                <a:lumMod val="75000"/>
                <a:alpha val="5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35433315429665"/>
          <c:y val="1.7778626359693829E-2"/>
          <c:w val="0.71064566929133866"/>
          <c:h val="0.94611092624961923"/>
        </c:manualLayout>
      </c:layout>
      <c:barChart>
        <c:barDir val="bar"/>
        <c:grouping val="stacked"/>
        <c:varyColors val="0"/>
        <c:ser>
          <c:idx val="0"/>
          <c:order val="0"/>
          <c:tx>
            <c:strRef>
              <c:f>Pivots!$H$13</c:f>
              <c:strCache>
                <c:ptCount val="1"/>
                <c:pt idx="0">
                  <c:v>Total</c:v>
                </c:pt>
              </c:strCache>
            </c:strRef>
          </c:tx>
          <c:spPr>
            <a:solidFill>
              <a:srgbClr val="5B64B6">
                <a:alpha val="78000"/>
              </a:srgbClr>
            </a:solidFill>
            <a:ln w="9525" cap="rnd">
              <a:solidFill>
                <a:schemeClr val="tx1">
                  <a:lumMod val="75000"/>
                  <a:lumOff val="25000"/>
                </a:schemeClr>
              </a:solidFill>
              <a:prstDash val="solid"/>
              <a:round/>
            </a:ln>
            <a:effectLst>
              <a:outerShdw blurRad="50800" dist="63500" dir="3600000" algn="ctr" rotWithShape="0">
                <a:schemeClr val="tx2">
                  <a:lumMod val="75000"/>
                  <a:alpha val="53000"/>
                </a:scheme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Pivots!$G$14:$G$21</c:f>
              <c:strCache>
                <c:ptCount val="7"/>
                <c:pt idx="0">
                  <c:v>Sunday</c:v>
                </c:pt>
                <c:pt idx="1">
                  <c:v>Monday</c:v>
                </c:pt>
                <c:pt idx="2">
                  <c:v>Tuesday</c:v>
                </c:pt>
                <c:pt idx="3">
                  <c:v>Wednesday</c:v>
                </c:pt>
                <c:pt idx="4">
                  <c:v>Thursday</c:v>
                </c:pt>
                <c:pt idx="5">
                  <c:v>Friday</c:v>
                </c:pt>
                <c:pt idx="6">
                  <c:v>Saturday</c:v>
                </c:pt>
              </c:strCache>
            </c:strRef>
          </c:cat>
          <c:val>
            <c:numRef>
              <c:f>Pivots!$H$14:$H$21</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142B-42A1-AD58-7844B841B09A}"/>
            </c:ext>
          </c:extLst>
        </c:ser>
        <c:dLbls>
          <c:dLblPos val="ctr"/>
          <c:showLegendKey val="0"/>
          <c:showVal val="1"/>
          <c:showCatName val="0"/>
          <c:showSerName val="0"/>
          <c:showPercent val="0"/>
          <c:showBubbleSize val="0"/>
        </c:dLbls>
        <c:gapWidth val="35"/>
        <c:overlap val="100"/>
        <c:axId val="940153583"/>
        <c:axId val="940167983"/>
      </c:barChart>
      <c:catAx>
        <c:axId val="9401535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167983"/>
        <c:crosses val="autoZero"/>
        <c:auto val="1"/>
        <c:lblAlgn val="ctr"/>
        <c:lblOffset val="100"/>
        <c:noMultiLvlLbl val="0"/>
      </c:catAx>
      <c:valAx>
        <c:axId val="940167983"/>
        <c:scaling>
          <c:orientation val="minMax"/>
        </c:scaling>
        <c:delete val="1"/>
        <c:axPos val="t"/>
        <c:numFmt formatCode="#,##0" sourceLinked="1"/>
        <c:majorTickMark val="none"/>
        <c:minorTickMark val="none"/>
        <c:tickLblPos val="nextTo"/>
        <c:crossAx val="940153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 Project.xlsx]Pivots!monthly trend</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350" b="1" baseline="0">
                <a:solidFill>
                  <a:schemeClr val="tx1">
                    <a:lumMod val="75000"/>
                    <a:lumOff val="25000"/>
                  </a:schemeClr>
                </a:solidFill>
              </a:rPr>
              <a:t>Call Density</a:t>
            </a:r>
          </a:p>
        </c:rich>
      </c:tx>
      <c:layout>
        <c:manualLayout>
          <c:xMode val="edge"/>
          <c:yMode val="edge"/>
          <c:x val="7.3690566678567715E-2"/>
          <c:y val="3.15208747613596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tx2">
                  <a:lumMod val="60000"/>
                  <a:lumOff val="40000"/>
                </a:schemeClr>
              </a:gs>
              <a:gs pos="95000">
                <a:schemeClr val="tx2">
                  <a:lumMod val="20000"/>
                  <a:lumOff val="80000"/>
                  <a:alpha val="47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cmpd="sng">
            <a:solidFill>
              <a:srgbClr val="3949AB">
                <a:alpha val="74902"/>
              </a:srgbClr>
            </a:solidFill>
            <a:prstDash val="solid"/>
            <a:round/>
            <a:headEnd type="none"/>
          </a:ln>
          <a:effectLst/>
        </c:spPr>
        <c:marker>
          <c:symbol val="circle"/>
          <c:size val="6"/>
          <c:spPr>
            <a:solidFill>
              <a:srgbClr val="283593"/>
            </a:solidFill>
            <a:ln w="25400">
              <a:solidFill>
                <a:schemeClr val="tx1">
                  <a:lumMod val="75000"/>
                  <a:lumOff val="25000"/>
                  <a:alpha val="9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54759013527325E-2"/>
          <c:y val="0.13786833507235902"/>
          <c:w val="0.90158573928258967"/>
          <c:h val="0.65890128317293672"/>
        </c:manualLayout>
      </c:layout>
      <c:areaChart>
        <c:grouping val="standard"/>
        <c:varyColors val="0"/>
        <c:ser>
          <c:idx val="1"/>
          <c:order val="1"/>
          <c:tx>
            <c:strRef>
              <c:f>Pivots!$C$13</c:f>
              <c:strCache>
                <c:ptCount val="1"/>
                <c:pt idx="0">
                  <c:v>Call Count2</c:v>
                </c:pt>
              </c:strCache>
            </c:strRef>
          </c:tx>
          <c:spPr>
            <a:gradFill>
              <a:gsLst>
                <a:gs pos="0">
                  <a:schemeClr val="tx2">
                    <a:lumMod val="60000"/>
                    <a:lumOff val="40000"/>
                  </a:schemeClr>
                </a:gs>
                <a:gs pos="95000">
                  <a:schemeClr val="tx2">
                    <a:lumMod val="20000"/>
                    <a:lumOff val="80000"/>
                    <a:alpha val="47000"/>
                  </a:schemeClr>
                </a:gs>
              </a:gsLst>
              <a:lin ang="5400000" scaled="1"/>
            </a:gra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EFA0-40BE-95F7-76980BFFBB1C}"/>
            </c:ext>
          </c:extLst>
        </c:ser>
        <c:dLbls>
          <c:showLegendKey val="0"/>
          <c:showVal val="0"/>
          <c:showCatName val="0"/>
          <c:showSerName val="0"/>
          <c:showPercent val="0"/>
          <c:showBubbleSize val="0"/>
        </c:dLbls>
        <c:axId val="1045108975"/>
        <c:axId val="1045110415"/>
      </c:areaChart>
      <c:lineChart>
        <c:grouping val="standard"/>
        <c:varyColors val="0"/>
        <c:ser>
          <c:idx val="0"/>
          <c:order val="0"/>
          <c:tx>
            <c:strRef>
              <c:f>Pivots!$B$13</c:f>
              <c:strCache>
                <c:ptCount val="1"/>
                <c:pt idx="0">
                  <c:v>Call Count</c:v>
                </c:pt>
              </c:strCache>
            </c:strRef>
          </c:tx>
          <c:spPr>
            <a:ln w="28575" cap="rnd" cmpd="sng">
              <a:solidFill>
                <a:srgbClr val="3949AB">
                  <a:alpha val="74902"/>
                </a:srgbClr>
              </a:solidFill>
              <a:prstDash val="solid"/>
              <a:round/>
              <a:headEnd type="none"/>
            </a:ln>
            <a:effectLst/>
          </c:spPr>
          <c:marker>
            <c:symbol val="circle"/>
            <c:size val="6"/>
            <c:spPr>
              <a:solidFill>
                <a:srgbClr val="283593"/>
              </a:solidFill>
              <a:ln w="25400">
                <a:solidFill>
                  <a:schemeClr val="tx1">
                    <a:lumMod val="75000"/>
                    <a:lumOff val="25000"/>
                    <a:alpha val="98000"/>
                  </a:schemeClr>
                </a:solid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EFA0-40BE-95F7-76980BFFBB1C}"/>
            </c:ext>
          </c:extLst>
        </c:ser>
        <c:dLbls>
          <c:showLegendKey val="0"/>
          <c:showVal val="0"/>
          <c:showCatName val="0"/>
          <c:showSerName val="0"/>
          <c:showPercent val="0"/>
          <c:showBubbleSize val="0"/>
        </c:dLbls>
        <c:marker val="1"/>
        <c:smooth val="0"/>
        <c:axId val="1045108975"/>
        <c:axId val="1045110415"/>
      </c:lineChart>
      <c:catAx>
        <c:axId val="10451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10415"/>
        <c:crosses val="autoZero"/>
        <c:auto val="1"/>
        <c:lblAlgn val="ctr"/>
        <c:lblOffset val="100"/>
        <c:noMultiLvlLbl val="0"/>
      </c:catAx>
      <c:valAx>
        <c:axId val="10451104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10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94304155798458"/>
          <c:y val="0.10930686327558499"/>
          <c:w val="0.77547889858711083"/>
          <c:h val="0.83836205683846587"/>
        </c:manualLayout>
      </c:layout>
      <c:barChart>
        <c:barDir val="bar"/>
        <c:grouping val="clustered"/>
        <c:varyColors val="0"/>
        <c:ser>
          <c:idx val="0"/>
          <c:order val="0"/>
          <c:spPr>
            <a:solidFill>
              <a:srgbClr val="D6D6D6"/>
            </a:solidFill>
            <a:ln>
              <a:noFill/>
            </a:ln>
            <a:effectLst>
              <a:outerShdw blurRad="50800" dist="38100" dir="2700000" algn="tl" rotWithShape="0">
                <a:prstClr val="black">
                  <a:alpha val="40000"/>
                </a:prstClr>
              </a:outerShdw>
              <a:softEdge rad="12700"/>
            </a:effectLst>
            <a:scene3d>
              <a:camera prst="orthographicFront"/>
              <a:lightRig rig="threePt" dir="t"/>
            </a:scene3d>
            <a:sp3d prstMaterial="metal"/>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Pivots!$F$39:$F$43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B9A-4E85-9A6A-238B931101D9}"/>
            </c:ext>
          </c:extLst>
        </c:ser>
        <c:ser>
          <c:idx val="1"/>
          <c:order val="1"/>
          <c:tx>
            <c:strRef>
              <c:f>Pivots!$H$38</c:f>
              <c:strCache>
                <c:ptCount val="1"/>
                <c:pt idx="0">
                  <c:v>Sel. Calss</c:v>
                </c:pt>
              </c:strCache>
            </c:strRef>
          </c:tx>
          <c:spPr>
            <a:solidFill>
              <a:srgbClr val="5B64B6">
                <a:alpha val="88627"/>
              </a:srgbClr>
            </a:solidFill>
            <a:ln>
              <a:gradFill>
                <a:gsLst>
                  <a:gs pos="0">
                    <a:schemeClr val="accent4">
                      <a:lumMod val="75000"/>
                    </a:schemeClr>
                  </a:gs>
                  <a:gs pos="100000">
                    <a:schemeClr val="accent4">
                      <a:lumMod val="50000"/>
                    </a:schemeClr>
                  </a:gs>
                </a:gsLst>
                <a:lin ang="5400000" scaled="1"/>
              </a:gradFill>
            </a:ln>
            <a:effectLst>
              <a:outerShdw blurRad="63500" dist="63500" dir="13500000" algn="br" rotWithShape="0">
                <a:prstClr val="black">
                  <a:alpha val="40000"/>
                </a:prstClr>
              </a:outerShdw>
            </a:effectLst>
          </c:spPr>
          <c:invertIfNegative val="0"/>
          <c:val>
            <c:numRef>
              <c:f>Pivots!$H$39:$H$43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AB9A-4E85-9A6A-238B931101D9}"/>
            </c:ext>
          </c:extLst>
        </c:ser>
        <c:dLbls>
          <c:showLegendKey val="0"/>
          <c:showVal val="0"/>
          <c:showCatName val="0"/>
          <c:showSerName val="0"/>
          <c:showPercent val="0"/>
          <c:showBubbleSize val="0"/>
        </c:dLbls>
        <c:gapWidth val="34"/>
        <c:overlap val="100"/>
        <c:axId val="527596527"/>
        <c:axId val="527607087"/>
      </c:barChart>
      <c:catAx>
        <c:axId val="527596527"/>
        <c:scaling>
          <c:orientation val="maxMin"/>
        </c:scaling>
        <c:delete val="0"/>
        <c:axPos val="l"/>
        <c:numFmt formatCode="General" sourceLinked="1"/>
        <c:majorTickMark val="none"/>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07087"/>
        <c:crosses val="autoZero"/>
        <c:auto val="1"/>
        <c:lblAlgn val="ctr"/>
        <c:lblOffset val="100"/>
        <c:noMultiLvlLbl val="0"/>
      </c:catAx>
      <c:valAx>
        <c:axId val="527607087"/>
        <c:scaling>
          <c:orientation val="minMax"/>
        </c:scaling>
        <c:delete val="1"/>
        <c:axPos val="t"/>
        <c:numFmt formatCode="General" sourceLinked="1"/>
        <c:majorTickMark val="out"/>
        <c:minorTickMark val="none"/>
        <c:tickLblPos val="nextTo"/>
        <c:crossAx val="527596527"/>
        <c:crosses val="autoZero"/>
        <c:crossBetween val="between"/>
      </c:valAx>
      <c:spPr>
        <a:noFill/>
        <a:ln>
          <a:noFill/>
        </a:ln>
        <a:effectLst>
          <a:outerShdw blurRad="50800" dist="38100" algn="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058939808256174E-2"/>
          <c:y val="0"/>
          <c:w val="0.97294087088795023"/>
          <c:h val="1"/>
        </c:manualLayout>
      </c:layout>
      <c:barChart>
        <c:barDir val="bar"/>
        <c:grouping val="clustered"/>
        <c:varyColors val="0"/>
        <c:ser>
          <c:idx val="0"/>
          <c:order val="0"/>
          <c:spPr>
            <a:solidFill>
              <a:srgbClr val="D6D6D6"/>
            </a:solidFill>
            <a:ln>
              <a:noFill/>
            </a:ln>
            <a:effectLst>
              <a:outerShdw blurRad="50800" dist="38100" dir="2700000" algn="tl" rotWithShape="0">
                <a:prstClr val="black">
                  <a:alpha val="40000"/>
                </a:prst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Pivots!$G$39:$G$43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9F7-4630-A2D7-97E77F89EC78}"/>
            </c:ext>
          </c:extLst>
        </c:ser>
        <c:ser>
          <c:idx val="1"/>
          <c:order val="1"/>
          <c:tx>
            <c:strRef>
              <c:f>Pivots!$I$38</c:f>
              <c:strCache>
                <c:ptCount val="1"/>
                <c:pt idx="0">
                  <c:v>Sel. Amount</c:v>
                </c:pt>
              </c:strCache>
            </c:strRef>
          </c:tx>
          <c:spPr>
            <a:solidFill>
              <a:srgbClr val="5B64B6">
                <a:alpha val="87000"/>
              </a:srgbClr>
            </a:solidFill>
            <a:ln>
              <a:noFill/>
            </a:ln>
            <a:effectLst>
              <a:outerShdw blurRad="76200" dist="76200" dir="13500000" algn="br" rotWithShape="0">
                <a:prstClr val="black">
                  <a:alpha val="40000"/>
                </a:prstClr>
              </a:outerShdw>
            </a:effectLst>
          </c:spPr>
          <c:invertIfNegative val="0"/>
          <c:dPt>
            <c:idx val="2"/>
            <c:invertIfNegative val="0"/>
            <c:bubble3D val="0"/>
            <c:spPr>
              <a:solidFill>
                <a:srgbClr val="5B64B6">
                  <a:alpha val="87000"/>
                </a:srgbClr>
              </a:solidFill>
              <a:ln w="9525">
                <a:solidFill>
                  <a:schemeClr val="accent1"/>
                </a:solidFill>
              </a:ln>
              <a:effectLst>
                <a:outerShdw blurRad="76200" dist="76200" dir="13500000" algn="br" rotWithShape="0">
                  <a:prstClr val="black">
                    <a:alpha val="40000"/>
                  </a:prstClr>
                </a:outerShdw>
              </a:effectLst>
            </c:spPr>
            <c:extLst>
              <c:ext xmlns:c16="http://schemas.microsoft.com/office/drawing/2014/chart" uri="{C3380CC4-5D6E-409C-BE32-E72D297353CC}">
                <c16:uniqueId val="{00000002-19F7-4630-A2D7-97E77F89EC78}"/>
              </c:ext>
            </c:extLst>
          </c:dPt>
          <c:val>
            <c:numRef>
              <c:f>Pivots!$I$39:$I$43</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3-19F7-4630-A2D7-97E77F89EC78}"/>
            </c:ext>
          </c:extLst>
        </c:ser>
        <c:dLbls>
          <c:showLegendKey val="0"/>
          <c:showVal val="0"/>
          <c:showCatName val="0"/>
          <c:showSerName val="0"/>
          <c:showPercent val="0"/>
          <c:showBubbleSize val="0"/>
        </c:dLbls>
        <c:gapWidth val="34"/>
        <c:overlap val="100"/>
        <c:axId val="527596527"/>
        <c:axId val="527607087"/>
      </c:barChart>
      <c:catAx>
        <c:axId val="527596527"/>
        <c:scaling>
          <c:orientation val="maxMin"/>
        </c:scaling>
        <c:delete val="1"/>
        <c:axPos val="l"/>
        <c:numFmt formatCode="General" sourceLinked="1"/>
        <c:majorTickMark val="in"/>
        <c:minorTickMark val="none"/>
        <c:tickLblPos val="nextTo"/>
        <c:crossAx val="527607087"/>
        <c:crosses val="autoZero"/>
        <c:auto val="1"/>
        <c:lblAlgn val="ctr"/>
        <c:lblOffset val="100"/>
        <c:tickMarkSkip val="2"/>
        <c:noMultiLvlLbl val="0"/>
      </c:catAx>
      <c:valAx>
        <c:axId val="527607087"/>
        <c:scaling>
          <c:orientation val="minMax"/>
        </c:scaling>
        <c:delete val="1"/>
        <c:axPos val="t"/>
        <c:numFmt formatCode="\$#,###.0,\k" sourceLinked="1"/>
        <c:majorTickMark val="out"/>
        <c:minorTickMark val="none"/>
        <c:tickLblPos val="nextTo"/>
        <c:crossAx val="527596527"/>
        <c:crosses val="autoZero"/>
        <c:crossBetween val="between"/>
      </c:valAx>
      <c:spPr>
        <a:noFill/>
        <a:ln>
          <a:noFill/>
        </a:ln>
        <a:effectLst>
          <a:outerShdw blurRad="50800" dist="38100" algn="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 Project.xlsx]Pivots!PivotTable3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aseline="0">
                <a:solidFill>
                  <a:srgbClr val="66BB6A"/>
                </a:solidFill>
              </a:rPr>
              <a:t>Female</a:t>
            </a:r>
            <a:r>
              <a:rPr lang="en-IN" sz="1300" baseline="0"/>
              <a:t> v/s </a:t>
            </a:r>
            <a:r>
              <a:rPr lang="en-IN" sz="1300" baseline="0">
                <a:solidFill>
                  <a:srgbClr val="4A8EF2"/>
                </a:solidFill>
              </a:rPr>
              <a:t>Male</a:t>
            </a:r>
            <a:r>
              <a:rPr lang="en-IN" sz="1300" baseline="0"/>
              <a:t> Callers</a:t>
            </a:r>
          </a:p>
        </c:rich>
      </c:tx>
      <c:layout>
        <c:manualLayout>
          <c:xMode val="edge"/>
          <c:yMode val="edge"/>
          <c:x val="0.15683096787868617"/>
          <c:y val="2.7286139703150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BB6A">
              <a:alpha val="82745"/>
            </a:srgbClr>
          </a:solidFill>
          <a:ln>
            <a:noFill/>
          </a:ln>
          <a:effectLst/>
        </c:spPr>
        <c:marker>
          <c:symbol val="none"/>
        </c:marker>
        <c:dLbl>
          <c:idx val="0"/>
          <c:spPr>
            <a:solidFill>
              <a:schemeClr val="bg1">
                <a:lumMod val="95000"/>
                <a:alpha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bg2">
              <a:lumMod val="75000"/>
              <a:alpha val="77000"/>
            </a:schemeClr>
          </a:solidFill>
          <a:ln>
            <a:noFill/>
          </a:ln>
          <a:effectLst/>
        </c:spPr>
        <c:marker>
          <c:symbol val="none"/>
        </c:marker>
        <c:dLbl>
          <c:idx val="0"/>
          <c:spPr>
            <a:solidFill>
              <a:schemeClr val="bg1">
                <a:lumMod val="95000"/>
                <a:alpha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bg2">
              <a:lumMod val="75000"/>
              <a:alpha val="77000"/>
            </a:schemeClr>
          </a:solidFill>
          <a:ln>
            <a:noFill/>
          </a:ln>
          <a:effectLst/>
        </c:spPr>
        <c:dLbl>
          <c:idx val="0"/>
          <c:spPr>
            <a:solidFill>
              <a:schemeClr val="bg1">
                <a:lumMod val="95000"/>
                <a:alpha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9.701712033511628E-2"/>
                  <c:h val="6.4672310542555761E-2"/>
                </c:manualLayout>
              </c15:layout>
            </c:ext>
          </c:extLst>
        </c:dLbl>
      </c:pivotFmt>
    </c:pivotFmts>
    <c:plotArea>
      <c:layout/>
      <c:barChart>
        <c:barDir val="col"/>
        <c:grouping val="percentStacked"/>
        <c:varyColors val="0"/>
        <c:ser>
          <c:idx val="0"/>
          <c:order val="0"/>
          <c:tx>
            <c:strRef>
              <c:f>Pivots!$B$61:$B$62</c:f>
              <c:strCache>
                <c:ptCount val="1"/>
                <c:pt idx="0">
                  <c:v>Female</c:v>
                </c:pt>
              </c:strCache>
            </c:strRef>
          </c:tx>
          <c:spPr>
            <a:solidFill>
              <a:srgbClr val="66BB6A">
                <a:alpha val="82745"/>
              </a:srgbClr>
            </a:solidFill>
            <a:ln>
              <a:noFill/>
            </a:ln>
            <a:effectLst/>
          </c:spPr>
          <c:invertIfNegative val="0"/>
          <c:dLbls>
            <c:spPr>
              <a:solidFill>
                <a:schemeClr val="bg1">
                  <a:lumMod val="95000"/>
                  <a:alpha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Pivots!$B$63:$B$66</c:f>
              <c:numCache>
                <c:formatCode>General</c:formatCode>
                <c:ptCount val="3"/>
                <c:pt idx="0">
                  <c:v>144</c:v>
                </c:pt>
                <c:pt idx="1">
                  <c:v>326</c:v>
                </c:pt>
                <c:pt idx="2">
                  <c:v>129</c:v>
                </c:pt>
              </c:numCache>
            </c:numRef>
          </c:val>
          <c:extLst>
            <c:ext xmlns:c16="http://schemas.microsoft.com/office/drawing/2014/chart" uri="{C3380CC4-5D6E-409C-BE32-E72D297353CC}">
              <c16:uniqueId val="{00000000-F1EB-4FEB-A803-E9F559242296}"/>
            </c:ext>
          </c:extLst>
        </c:ser>
        <c:ser>
          <c:idx val="1"/>
          <c:order val="1"/>
          <c:tx>
            <c:strRef>
              <c:f>Pivots!$C$61:$C$62</c:f>
              <c:strCache>
                <c:ptCount val="1"/>
                <c:pt idx="0">
                  <c:v>Male</c:v>
                </c:pt>
              </c:strCache>
            </c:strRef>
          </c:tx>
          <c:spPr>
            <a:solidFill>
              <a:schemeClr val="bg2">
                <a:lumMod val="75000"/>
                <a:alpha val="77000"/>
              </a:schemeClr>
            </a:solidFill>
            <a:ln>
              <a:noFill/>
            </a:ln>
            <a:effectLst/>
          </c:spPr>
          <c:invertIfNegative val="0"/>
          <c:dPt>
            <c:idx val="1"/>
            <c:invertIfNegative val="0"/>
            <c:bubble3D val="0"/>
            <c:extLst>
              <c:ext xmlns:c16="http://schemas.microsoft.com/office/drawing/2014/chart" uri="{C3380CC4-5D6E-409C-BE32-E72D297353CC}">
                <c16:uniqueId val="{00000002-F1EB-4FEB-A803-E9F559242296}"/>
              </c:ext>
            </c:extLst>
          </c:dPt>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9.701712033511628E-2"/>
                      <c:h val="6.4672310542555761E-2"/>
                    </c:manualLayout>
                  </c15:layout>
                </c:ext>
                <c:ext xmlns:c16="http://schemas.microsoft.com/office/drawing/2014/chart" uri="{C3380CC4-5D6E-409C-BE32-E72D297353CC}">
                  <c16:uniqueId val="{00000002-F1EB-4FEB-A803-E9F559242296}"/>
                </c:ext>
              </c:extLst>
            </c:dLbl>
            <c:spPr>
              <a:solidFill>
                <a:schemeClr val="bg1">
                  <a:lumMod val="95000"/>
                  <a:alpha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Pivots!$C$63:$C$66</c:f>
              <c:numCache>
                <c:formatCode>General</c:formatCode>
                <c:ptCount val="3"/>
                <c:pt idx="0">
                  <c:v>132</c:v>
                </c:pt>
                <c:pt idx="1">
                  <c:v>63</c:v>
                </c:pt>
                <c:pt idx="2">
                  <c:v>206</c:v>
                </c:pt>
              </c:numCache>
            </c:numRef>
          </c:val>
          <c:extLst>
            <c:ext xmlns:c16="http://schemas.microsoft.com/office/drawing/2014/chart" uri="{C3380CC4-5D6E-409C-BE32-E72D297353CC}">
              <c16:uniqueId val="{00000001-F1EB-4FEB-A803-E9F559242296}"/>
            </c:ext>
          </c:extLst>
        </c:ser>
        <c:dLbls>
          <c:dLblPos val="ctr"/>
          <c:showLegendKey val="0"/>
          <c:showVal val="1"/>
          <c:showCatName val="0"/>
          <c:showSerName val="0"/>
          <c:showPercent val="0"/>
          <c:showBubbleSize val="0"/>
        </c:dLbls>
        <c:gapWidth val="40"/>
        <c:overlap val="100"/>
        <c:axId val="1222745248"/>
        <c:axId val="1222745728"/>
      </c:barChart>
      <c:catAx>
        <c:axId val="1222745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745728"/>
        <c:crosses val="autoZero"/>
        <c:auto val="1"/>
        <c:lblAlgn val="ctr"/>
        <c:lblOffset val="100"/>
        <c:noMultiLvlLbl val="0"/>
      </c:catAx>
      <c:valAx>
        <c:axId val="1222745728"/>
        <c:scaling>
          <c:orientation val="minMax"/>
        </c:scaling>
        <c:delete val="1"/>
        <c:axPos val="l"/>
        <c:numFmt formatCode="0%" sourceLinked="1"/>
        <c:majorTickMark val="out"/>
        <c:minorTickMark val="none"/>
        <c:tickLblPos val="nextTo"/>
        <c:crossAx val="122274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solidFill>
                  <a:srgbClr val="7B2525"/>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3949AB">
                <a:alpha val="85098"/>
              </a:srgbClr>
            </a:solidFill>
            <a:ln>
              <a:noFill/>
            </a:ln>
            <a:effectLst/>
          </c:spPr>
          <c:invertIfNegative val="0"/>
          <c:cat>
            <c:numRef>
              <c:f>Pivots!$E$72:$E$77</c:f>
              <c:numCache>
                <c:formatCode>General</c:formatCode>
                <c:ptCount val="6"/>
                <c:pt idx="0">
                  <c:v>0</c:v>
                </c:pt>
                <c:pt idx="1">
                  <c:v>1</c:v>
                </c:pt>
                <c:pt idx="2">
                  <c:v>2</c:v>
                </c:pt>
                <c:pt idx="3">
                  <c:v>3</c:v>
                </c:pt>
                <c:pt idx="4">
                  <c:v>4</c:v>
                </c:pt>
                <c:pt idx="5">
                  <c:v>5</c:v>
                </c:pt>
              </c:numCache>
            </c:numRef>
          </c:cat>
          <c:val>
            <c:numRef>
              <c:f>Pivots!$F$72:$F$77</c:f>
              <c:numCache>
                <c:formatCode>General</c:formatCode>
                <c:ptCount val="6"/>
                <c:pt idx="0">
                  <c:v>0</c:v>
                </c:pt>
                <c:pt idx="1">
                  <c:v>1</c:v>
                </c:pt>
                <c:pt idx="2">
                  <c:v>9</c:v>
                </c:pt>
                <c:pt idx="3">
                  <c:v>31</c:v>
                </c:pt>
                <c:pt idx="4">
                  <c:v>88</c:v>
                </c:pt>
                <c:pt idx="5">
                  <c:v>60</c:v>
                </c:pt>
              </c:numCache>
            </c:numRef>
          </c:val>
          <c:extLst>
            <c:ext xmlns:c16="http://schemas.microsoft.com/office/drawing/2014/chart" uri="{C3380CC4-5D6E-409C-BE32-E72D297353CC}">
              <c16:uniqueId val="{00000000-2E1A-4C8E-AC33-414ACBB3F877}"/>
            </c:ext>
          </c:extLst>
        </c:ser>
        <c:dLbls>
          <c:showLegendKey val="0"/>
          <c:showVal val="0"/>
          <c:showCatName val="0"/>
          <c:showSerName val="0"/>
          <c:showPercent val="0"/>
          <c:showBubbleSize val="0"/>
        </c:dLbls>
        <c:gapWidth val="20"/>
        <c:overlap val="-25"/>
        <c:axId val="992808368"/>
        <c:axId val="992805008"/>
      </c:barChart>
      <c:catAx>
        <c:axId val="99280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05008"/>
        <c:crosses val="autoZero"/>
        <c:auto val="1"/>
        <c:lblAlgn val="ctr"/>
        <c:lblOffset val="100"/>
        <c:noMultiLvlLbl val="0"/>
      </c:catAx>
      <c:valAx>
        <c:axId val="992805008"/>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08368"/>
        <c:crosses val="autoZero"/>
        <c:crossBetween val="between"/>
        <c:majorUnit val="20"/>
        <c:minorUnit val="4"/>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724012019838506"/>
          <c:y val="3.2718086310749177E-2"/>
          <c:w val="0.61804709171990324"/>
          <c:h val="0.938556619191387"/>
        </c:manualLayout>
      </c:layout>
      <c:barChart>
        <c:barDir val="bar"/>
        <c:grouping val="clustered"/>
        <c:varyColors val="0"/>
        <c:ser>
          <c:idx val="0"/>
          <c:order val="0"/>
          <c:spPr>
            <a:solidFill>
              <a:srgbClr val="5B64B6">
                <a:alpha val="79000"/>
              </a:srgbClr>
            </a:solidFill>
            <a:ln>
              <a:noFill/>
            </a:ln>
            <a:effectLst>
              <a:outerShdw blurRad="50800" dist="50800" dir="3600000" algn="br" rotWithShape="0">
                <a:srgbClr val="1B1E3E">
                  <a:alpha val="52941"/>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Pivots!$K$14:$K$20</c:f>
              <c:strCache>
                <c:ptCount val="7"/>
                <c:pt idx="0">
                  <c:v>Sunday</c:v>
                </c:pt>
                <c:pt idx="1">
                  <c:v>Monday</c:v>
                </c:pt>
                <c:pt idx="2">
                  <c:v>Tuesday</c:v>
                </c:pt>
                <c:pt idx="3">
                  <c:v>Wednesday</c:v>
                </c:pt>
                <c:pt idx="4">
                  <c:v>Thursday</c:v>
                </c:pt>
                <c:pt idx="5">
                  <c:v>Friday</c:v>
                </c:pt>
                <c:pt idx="6">
                  <c:v>Saturday</c:v>
                </c:pt>
              </c:strCache>
            </c:strRef>
          </c:cat>
          <c:val>
            <c:numRef>
              <c:f>Pivots!$L$14:$L$20</c:f>
              <c:numCache>
                <c:formatCode>General</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46FD-4808-8723-AF29DB94FCD1}"/>
            </c:ext>
          </c:extLst>
        </c:ser>
        <c:ser>
          <c:idx val="1"/>
          <c:order val="1"/>
          <c:tx>
            <c:strRef>
              <c:f>Pivots!$M$13</c:f>
              <c:strCache>
                <c:ptCount val="1"/>
                <c:pt idx="0">
                  <c:v>Max Calls</c:v>
                </c:pt>
              </c:strCache>
            </c:strRef>
          </c:tx>
          <c:spPr>
            <a:solidFill>
              <a:srgbClr val="FFC107">
                <a:alpha val="89000"/>
              </a:srgbClr>
            </a:solidFill>
            <a:ln>
              <a:noFill/>
            </a:ln>
            <a:effectLst/>
          </c:spPr>
          <c:invertIfNegative val="0"/>
          <c:val>
            <c:numRef>
              <c:f>Pivots!$M$14:$M$20</c:f>
              <c:numCache>
                <c:formatCode>General</c:formatCode>
                <c:ptCount val="7"/>
                <c:pt idx="0">
                  <c:v>0</c:v>
                </c:pt>
                <c:pt idx="1">
                  <c:v>0</c:v>
                </c:pt>
                <c:pt idx="2">
                  <c:v>0</c:v>
                </c:pt>
                <c:pt idx="3">
                  <c:v>0</c:v>
                </c:pt>
                <c:pt idx="4">
                  <c:v>0</c:v>
                </c:pt>
                <c:pt idx="5">
                  <c:v>0</c:v>
                </c:pt>
                <c:pt idx="6">
                  <c:v>40</c:v>
                </c:pt>
              </c:numCache>
            </c:numRef>
          </c:val>
          <c:extLst>
            <c:ext xmlns:c16="http://schemas.microsoft.com/office/drawing/2014/chart" uri="{C3380CC4-5D6E-409C-BE32-E72D297353CC}">
              <c16:uniqueId val="{00000001-46FD-4808-8723-AF29DB94FCD1}"/>
            </c:ext>
          </c:extLst>
        </c:ser>
        <c:dLbls>
          <c:showLegendKey val="0"/>
          <c:showVal val="0"/>
          <c:showCatName val="0"/>
          <c:showSerName val="0"/>
          <c:showPercent val="0"/>
          <c:showBubbleSize val="0"/>
        </c:dLbls>
        <c:gapWidth val="40"/>
        <c:overlap val="100"/>
        <c:axId val="1777025135"/>
        <c:axId val="1777032815"/>
      </c:barChart>
      <c:catAx>
        <c:axId val="17770251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032815"/>
        <c:crosses val="autoZero"/>
        <c:auto val="1"/>
        <c:lblAlgn val="ctr"/>
        <c:lblOffset val="100"/>
        <c:noMultiLvlLbl val="0"/>
      </c:catAx>
      <c:valAx>
        <c:axId val="1777032815"/>
        <c:scaling>
          <c:orientation val="minMax"/>
        </c:scaling>
        <c:delete val="1"/>
        <c:axPos val="t"/>
        <c:numFmt formatCode="General" sourceLinked="1"/>
        <c:majorTickMark val="none"/>
        <c:minorTickMark val="none"/>
        <c:tickLblPos val="nextTo"/>
        <c:crossAx val="177702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6.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5.xml"/><Relationship Id="rId2" Type="http://schemas.openxmlformats.org/officeDocument/2006/relationships/image" Target="../media/image19.svg"/><Relationship Id="rId16" Type="http://schemas.openxmlformats.org/officeDocument/2006/relationships/chart" Target="../charts/chart7.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4.xml"/><Relationship Id="rId5" Type="http://schemas.openxmlformats.org/officeDocument/2006/relationships/image" Target="../media/image22.png"/><Relationship Id="rId15" Type="http://schemas.openxmlformats.org/officeDocument/2006/relationships/image" Target="../media/image9.svg"/><Relationship Id="rId10" Type="http://schemas.openxmlformats.org/officeDocument/2006/relationships/chart" Target="../charts/chart3.xml"/><Relationship Id="rId4" Type="http://schemas.openxmlformats.org/officeDocument/2006/relationships/image" Target="../media/image21.svg"/><Relationship Id="rId9" Type="http://schemas.openxmlformats.org/officeDocument/2006/relationships/chart" Target="../charts/chart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F9874DCB-E83C-4B11-AC50-9F1A6C3172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101387"/>
          <a:ext cx="409650" cy="390600"/>
        </a:xfrm>
        <a:prstGeom prst="rect">
          <a:avLst/>
        </a:prstGeom>
      </xdr:spPr>
    </xdr:pic>
    <xdr:clientData/>
  </xdr:twoCellAnchor>
  <xdr:twoCellAnchor editAs="oneCell">
    <xdr:from>
      <xdr:col>0</xdr:col>
      <xdr:colOff>596347</xdr:colOff>
      <xdr:row>1</xdr:row>
      <xdr:rowOff>119938</xdr:rowOff>
    </xdr:from>
    <xdr:to>
      <xdr:col>1</xdr:col>
      <xdr:colOff>359954</xdr:colOff>
      <xdr:row>3</xdr:row>
      <xdr:rowOff>16066</xdr:rowOff>
    </xdr:to>
    <xdr:pic>
      <xdr:nvPicPr>
        <xdr:cNvPr id="3" name="Graphic 2" descr="Hourglass Finished with solid fill">
          <a:extLst>
            <a:ext uri="{FF2B5EF4-FFF2-40B4-BE49-F238E27FC236}">
              <a16:creationId xmlns:a16="http://schemas.microsoft.com/office/drawing/2014/main" id="{4EFC4753-BB73-4ABF-A83B-85B999B048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6347" y="300913"/>
          <a:ext cx="411307" cy="400953"/>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9D0C3565-7336-4F87-A806-DC57CBC8EB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7700" y="3228900"/>
          <a:ext cx="409650" cy="381075"/>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D1674D8C-5EA5-4E15-9B13-6B8264F12C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7700" y="110900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0F39A9CC-040A-40B4-B0B0-DC32C493DC1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7700" y="2665143"/>
          <a:ext cx="409650" cy="39060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F473CADF-D0A3-4A94-92B0-28F5F6E300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66749" y="3736124"/>
          <a:ext cx="411480" cy="392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347663</xdr:colOff>
      <xdr:row>17</xdr:row>
      <xdr:rowOff>57149</xdr:rowOff>
    </xdr:from>
    <xdr:to>
      <xdr:col>22</xdr:col>
      <xdr:colOff>581026</xdr:colOff>
      <xdr:row>28</xdr:row>
      <xdr:rowOff>61910</xdr:rowOff>
    </xdr:to>
    <xdr:graphicFrame macro="">
      <xdr:nvGraphicFramePr>
        <xdr:cNvPr id="2" name="Chart 1">
          <a:extLst>
            <a:ext uri="{FF2B5EF4-FFF2-40B4-BE49-F238E27FC236}">
              <a16:creationId xmlns:a16="http://schemas.microsoft.com/office/drawing/2014/main" id="{44AEDBCE-07D9-45C3-961D-5A8EC36D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431018</xdr:colOff>
      <xdr:row>14</xdr:row>
      <xdr:rowOff>38894</xdr:rowOff>
    </xdr:from>
    <xdr:to>
      <xdr:col>14</xdr:col>
      <xdr:colOff>164714</xdr:colOff>
      <xdr:row>24</xdr:row>
      <xdr:rowOff>79886</xdr:rowOff>
    </xdr:to>
    <mc:AlternateContent xmlns:mc="http://schemas.openxmlformats.org/markup-compatibility/2006">
      <mc:Choice xmlns:a14="http://schemas.microsoft.com/office/drawing/2010/main" Requires="a14">
        <xdr:graphicFrame macro="">
          <xdr:nvGraphicFramePr>
            <xdr:cNvPr id="61" name="Representative">
              <a:extLst>
                <a:ext uri="{FF2B5EF4-FFF2-40B4-BE49-F238E27FC236}">
                  <a16:creationId xmlns:a16="http://schemas.microsoft.com/office/drawing/2014/main" id="{CE0273E9-75D9-42BA-8D3F-DEE41E43D70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477126" y="2578894"/>
              <a:ext cx="1334802" cy="183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106907</xdr:colOff>
      <xdr:row>1</xdr:row>
      <xdr:rowOff>25181</xdr:rowOff>
    </xdr:from>
    <xdr:to>
      <xdr:col>3</xdr:col>
      <xdr:colOff>550142</xdr:colOff>
      <xdr:row>5</xdr:row>
      <xdr:rowOff>120254</xdr:rowOff>
    </xdr:to>
    <xdr:sp macro="" textlink="Pivots!A4">
      <xdr:nvSpPr>
        <xdr:cNvPr id="37" name="Rectangle 36">
          <a:extLst>
            <a:ext uri="{FF2B5EF4-FFF2-40B4-BE49-F238E27FC236}">
              <a16:creationId xmlns:a16="http://schemas.microsoft.com/office/drawing/2014/main" id="{E8DC7817-C0E9-4B58-8006-BB36EE756888}"/>
            </a:ext>
          </a:extLst>
        </xdr:cNvPr>
        <xdr:cNvSpPr/>
      </xdr:nvSpPr>
      <xdr:spPr>
        <a:xfrm>
          <a:off x="373607" y="206156"/>
          <a:ext cx="1090935" cy="818973"/>
        </a:xfrm>
        <a:prstGeom prst="rect">
          <a:avLst/>
        </a:prstGeom>
        <a:solidFill>
          <a:srgbClr val="5B64B6"/>
        </a:solidFill>
        <a:effectLst>
          <a:outerShdw blurRad="254000" dist="114300" dir="2700000" algn="tl" rotWithShape="0">
            <a:schemeClr val="tx1">
              <a:alpha val="5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7C139D-A163-4F0E-BAAE-88C36D8306B3}" type="TxLink">
            <a:rPr lang="en-US" sz="2800" b="1" i="0" u="none" strike="noStrike">
              <a:solidFill>
                <a:srgbClr val="FFFFFF"/>
              </a:solidFill>
              <a:latin typeface="Aptos"/>
            </a:rPr>
            <a:pPr algn="ctr"/>
            <a:t>1,000</a:t>
          </a:fld>
          <a:endParaRPr lang="en-IN" sz="2800" b="1">
            <a:solidFill>
              <a:srgbClr val="FFFFFF"/>
            </a:solidFill>
          </a:endParaRPr>
        </a:p>
      </xdr:txBody>
    </xdr:sp>
    <xdr:clientData/>
  </xdr:twoCellAnchor>
  <xdr:twoCellAnchor>
    <xdr:from>
      <xdr:col>2</xdr:col>
      <xdr:colOff>324864</xdr:colOff>
      <xdr:row>1</xdr:row>
      <xdr:rowOff>44343</xdr:rowOff>
    </xdr:from>
    <xdr:to>
      <xdr:col>3</xdr:col>
      <xdr:colOff>322094</xdr:colOff>
      <xdr:row>2</xdr:row>
      <xdr:rowOff>70416</xdr:rowOff>
    </xdr:to>
    <xdr:sp macro="" textlink="">
      <xdr:nvSpPr>
        <xdr:cNvPr id="38" name="TextBox 37">
          <a:extLst>
            <a:ext uri="{FF2B5EF4-FFF2-40B4-BE49-F238E27FC236}">
              <a16:creationId xmlns:a16="http://schemas.microsoft.com/office/drawing/2014/main" id="{4745CEAC-515A-49EC-B840-67BB01FAC1D5}"/>
            </a:ext>
          </a:extLst>
        </xdr:cNvPr>
        <xdr:cNvSpPr txBox="1"/>
      </xdr:nvSpPr>
      <xdr:spPr>
        <a:xfrm>
          <a:off x="591564" y="225318"/>
          <a:ext cx="644930" cy="207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rgbClr val="E8EAF6"/>
              </a:solidFill>
            </a:rPr>
            <a:t>calls</a:t>
          </a:r>
          <a:endParaRPr lang="en-IN" sz="1200" baseline="0">
            <a:solidFill>
              <a:srgbClr val="E8EAF6"/>
            </a:solidFill>
          </a:endParaRPr>
        </a:p>
        <a:p>
          <a:pPr algn="ctr"/>
          <a:endParaRPr lang="en-IN" sz="1100">
            <a:solidFill>
              <a:srgbClr val="FFC000"/>
            </a:solidFill>
          </a:endParaRPr>
        </a:p>
      </xdr:txBody>
    </xdr:sp>
    <xdr:clientData/>
  </xdr:twoCellAnchor>
  <xdr:twoCellAnchor editAs="oneCell">
    <xdr:from>
      <xdr:col>2</xdr:col>
      <xdr:colOff>158684</xdr:colOff>
      <xdr:row>1</xdr:row>
      <xdr:rowOff>52628</xdr:rowOff>
    </xdr:from>
    <xdr:to>
      <xdr:col>2</xdr:col>
      <xdr:colOff>338419</xdr:colOff>
      <xdr:row>2</xdr:row>
      <xdr:rowOff>43789</xdr:rowOff>
    </xdr:to>
    <xdr:pic>
      <xdr:nvPicPr>
        <xdr:cNvPr id="39" name="Graphic 38" descr="Receiver with solid fill">
          <a:extLst>
            <a:ext uri="{FF2B5EF4-FFF2-40B4-BE49-F238E27FC236}">
              <a16:creationId xmlns:a16="http://schemas.microsoft.com/office/drawing/2014/main" id="{5E2BCACF-AD08-4231-910D-BC52B6A874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384" y="233603"/>
          <a:ext cx="179735" cy="172136"/>
        </a:xfrm>
        <a:prstGeom prst="rect">
          <a:avLst/>
        </a:prstGeom>
      </xdr:spPr>
    </xdr:pic>
    <xdr:clientData/>
  </xdr:twoCellAnchor>
  <xdr:twoCellAnchor>
    <xdr:from>
      <xdr:col>2</xdr:col>
      <xdr:colOff>251435</xdr:colOff>
      <xdr:row>4</xdr:row>
      <xdr:rowOff>70750</xdr:rowOff>
    </xdr:from>
    <xdr:to>
      <xdr:col>3</xdr:col>
      <xdr:colOff>375259</xdr:colOff>
      <xdr:row>5</xdr:row>
      <xdr:rowOff>85036</xdr:rowOff>
    </xdr:to>
    <xdr:sp macro="" textlink="Pivots!A9">
      <xdr:nvSpPr>
        <xdr:cNvPr id="40" name="TextBox 39">
          <a:extLst>
            <a:ext uri="{FF2B5EF4-FFF2-40B4-BE49-F238E27FC236}">
              <a16:creationId xmlns:a16="http://schemas.microsoft.com/office/drawing/2014/main" id="{9DCBFB3E-CBAF-4D5C-AAB3-A478EA1BFC2A}"/>
            </a:ext>
          </a:extLst>
        </xdr:cNvPr>
        <xdr:cNvSpPr txBox="1"/>
      </xdr:nvSpPr>
      <xdr:spPr>
        <a:xfrm>
          <a:off x="518135" y="794650"/>
          <a:ext cx="771524" cy="195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144B76-B2F0-4FFB-8108-01D5FBAC0786}" type="TxLink">
            <a:rPr lang="en-US" sz="1050" b="0" i="0" u="none" strike="noStrike">
              <a:ln>
                <a:noFill/>
              </a:ln>
              <a:solidFill>
                <a:schemeClr val="accent3">
                  <a:lumMod val="40000"/>
                  <a:lumOff val="60000"/>
                </a:schemeClr>
              </a:solidFill>
              <a:latin typeface="Arial" panose="020B0604020202020204" pitchFamily="34" charset="0"/>
              <a:cs typeface="Arial" panose="020B0604020202020204" pitchFamily="34" charset="0"/>
            </a:rPr>
            <a:pPr algn="ctr"/>
            <a:t>189</a:t>
          </a:fld>
          <a:endParaRPr lang="en-IN" sz="1050" b="0" i="0">
            <a:ln>
              <a:noFill/>
            </a:ln>
            <a:solidFill>
              <a:schemeClr val="accent3">
                <a:lumMod val="40000"/>
                <a:lumOff val="60000"/>
              </a:schemeClr>
            </a:solidFill>
            <a:latin typeface="Arial" panose="020B0604020202020204" pitchFamily="34" charset="0"/>
            <a:cs typeface="Arial" panose="020B0604020202020204" pitchFamily="34" charset="0"/>
          </a:endParaRPr>
        </a:p>
      </xdr:txBody>
    </xdr:sp>
    <xdr:clientData/>
  </xdr:twoCellAnchor>
  <xdr:twoCellAnchor>
    <xdr:from>
      <xdr:col>2</xdr:col>
      <xdr:colOff>106907</xdr:colOff>
      <xdr:row>7</xdr:row>
      <xdr:rowOff>25181</xdr:rowOff>
    </xdr:from>
    <xdr:to>
      <xdr:col>3</xdr:col>
      <xdr:colOff>550142</xdr:colOff>
      <xdr:row>11</xdr:row>
      <xdr:rowOff>120254</xdr:rowOff>
    </xdr:to>
    <xdr:sp macro="" textlink="Pivots!B4">
      <xdr:nvSpPr>
        <xdr:cNvPr id="41" name="Rectangle 40">
          <a:extLst>
            <a:ext uri="{FF2B5EF4-FFF2-40B4-BE49-F238E27FC236}">
              <a16:creationId xmlns:a16="http://schemas.microsoft.com/office/drawing/2014/main" id="{F01D7356-C81F-4BD5-9538-1B478BEC6516}"/>
            </a:ext>
          </a:extLst>
        </xdr:cNvPr>
        <xdr:cNvSpPr/>
      </xdr:nvSpPr>
      <xdr:spPr>
        <a:xfrm>
          <a:off x="373607" y="1292006"/>
          <a:ext cx="1090935" cy="818973"/>
        </a:xfrm>
        <a:prstGeom prst="rect">
          <a:avLst/>
        </a:prstGeom>
        <a:solidFill>
          <a:schemeClr val="tx2">
            <a:lumMod val="60000"/>
            <a:lumOff val="40000"/>
          </a:schemeClr>
        </a:solidFill>
        <a:effectLst>
          <a:outerShdw blurRad="254000" dist="114300" dir="2700000" algn="tl" rotWithShape="0">
            <a:schemeClr val="tx1">
              <a:alpha val="5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97F31F-0D9E-4A7C-BB12-B0D08BF3B74D}" type="TxLink">
            <a:rPr lang="en-US" sz="1800" b="1" i="0" u="none" strike="noStrike">
              <a:solidFill>
                <a:srgbClr val="FFFFFF"/>
              </a:solidFill>
              <a:latin typeface="Aptos"/>
              <a:ea typeface="+mn-ea"/>
              <a:cs typeface="+mn-cs"/>
            </a:rPr>
            <a:pPr marL="0" indent="0" algn="ctr"/>
            <a:t>$96,623</a:t>
          </a:fld>
          <a:endParaRPr lang="en-IN" sz="1800" b="1" i="0" u="none" strike="noStrike">
            <a:solidFill>
              <a:srgbClr val="FFFFFF"/>
            </a:solidFill>
            <a:latin typeface="Aptos"/>
            <a:ea typeface="+mn-ea"/>
            <a:cs typeface="+mn-cs"/>
          </a:endParaRPr>
        </a:p>
      </xdr:txBody>
    </xdr:sp>
    <xdr:clientData/>
  </xdr:twoCellAnchor>
  <xdr:twoCellAnchor>
    <xdr:from>
      <xdr:col>2</xdr:col>
      <xdr:colOff>282888</xdr:colOff>
      <xdr:row>7</xdr:row>
      <xdr:rowOff>44342</xdr:rowOff>
    </xdr:from>
    <xdr:to>
      <xdr:col>3</xdr:col>
      <xdr:colOff>392425</xdr:colOff>
      <xdr:row>8</xdr:row>
      <xdr:rowOff>99765</xdr:rowOff>
    </xdr:to>
    <xdr:sp macro="" textlink="">
      <xdr:nvSpPr>
        <xdr:cNvPr id="42" name="TextBox 41">
          <a:extLst>
            <a:ext uri="{FF2B5EF4-FFF2-40B4-BE49-F238E27FC236}">
              <a16:creationId xmlns:a16="http://schemas.microsoft.com/office/drawing/2014/main" id="{34D5CF93-7D4E-4C2E-8A1C-5CFF666A68B4}"/>
            </a:ext>
          </a:extLst>
        </xdr:cNvPr>
        <xdr:cNvSpPr txBox="1"/>
      </xdr:nvSpPr>
      <xdr:spPr>
        <a:xfrm>
          <a:off x="549588" y="1311167"/>
          <a:ext cx="757237" cy="236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E8EAF6"/>
              </a:solidFill>
            </a:rPr>
            <a:t>Amount</a:t>
          </a:r>
          <a:endParaRPr lang="en-IN" sz="1200" baseline="0">
            <a:solidFill>
              <a:srgbClr val="E8EAF6"/>
            </a:solidFill>
          </a:endParaRPr>
        </a:p>
        <a:p>
          <a:pPr algn="ctr"/>
          <a:endParaRPr lang="en-IN" sz="1100">
            <a:solidFill>
              <a:srgbClr val="FFC000"/>
            </a:solidFill>
          </a:endParaRPr>
        </a:p>
      </xdr:txBody>
    </xdr:sp>
    <xdr:clientData/>
  </xdr:twoCellAnchor>
  <xdr:twoCellAnchor>
    <xdr:from>
      <xdr:col>2</xdr:col>
      <xdr:colOff>251435</xdr:colOff>
      <xdr:row>10</xdr:row>
      <xdr:rowOff>70750</xdr:rowOff>
    </xdr:from>
    <xdr:to>
      <xdr:col>3</xdr:col>
      <xdr:colOff>375259</xdr:colOff>
      <xdr:row>11</xdr:row>
      <xdr:rowOff>85036</xdr:rowOff>
    </xdr:to>
    <xdr:sp macro="" textlink="Pivots!B9">
      <xdr:nvSpPr>
        <xdr:cNvPr id="44" name="TextBox 43">
          <a:extLst>
            <a:ext uri="{FF2B5EF4-FFF2-40B4-BE49-F238E27FC236}">
              <a16:creationId xmlns:a16="http://schemas.microsoft.com/office/drawing/2014/main" id="{C7C5D3E9-EBEB-454D-AA5A-D0BAE09AA85A}"/>
            </a:ext>
          </a:extLst>
        </xdr:cNvPr>
        <xdr:cNvSpPr txBox="1"/>
      </xdr:nvSpPr>
      <xdr:spPr>
        <a:xfrm>
          <a:off x="518135" y="1880500"/>
          <a:ext cx="771524" cy="195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AD71FD-7F8C-4523-9E11-F38EE2ED8A95}" type="TxLink">
            <a:rPr lang="en-US" sz="100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rPr>
            <a:pPr marL="0" indent="0" algn="ctr"/>
            <a:t>$18,415</a:t>
          </a:fld>
          <a:endParaRPr lang="en-IN" sz="100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106907</xdr:colOff>
      <xdr:row>13</xdr:row>
      <xdr:rowOff>25180</xdr:rowOff>
    </xdr:from>
    <xdr:to>
      <xdr:col>3</xdr:col>
      <xdr:colOff>550142</xdr:colOff>
      <xdr:row>17</xdr:row>
      <xdr:rowOff>120254</xdr:rowOff>
    </xdr:to>
    <xdr:sp macro="" textlink="Pivots!C4">
      <xdr:nvSpPr>
        <xdr:cNvPr id="45" name="Rectangle 44">
          <a:extLst>
            <a:ext uri="{FF2B5EF4-FFF2-40B4-BE49-F238E27FC236}">
              <a16:creationId xmlns:a16="http://schemas.microsoft.com/office/drawing/2014/main" id="{64240D1E-32ED-4367-AF5E-89E1E8FF1DA6}"/>
            </a:ext>
          </a:extLst>
        </xdr:cNvPr>
        <xdr:cNvSpPr/>
      </xdr:nvSpPr>
      <xdr:spPr>
        <a:xfrm>
          <a:off x="373607" y="2377855"/>
          <a:ext cx="1090935" cy="795162"/>
        </a:xfrm>
        <a:prstGeom prst="rect">
          <a:avLst/>
        </a:prstGeom>
        <a:solidFill>
          <a:srgbClr val="5C64B7"/>
        </a:solidFill>
        <a:ln w="5612" cap="flat">
          <a:solidFill>
            <a:srgbClr val="1A2746"/>
          </a:solidFill>
          <a:prstDash val="solid"/>
          <a:miter/>
        </a:ln>
        <a:effectLst>
          <a:outerShdw blurRad="254000" dist="114300" dir="2700000" algn="tl" rotWithShape="0">
            <a:schemeClr val="tx1">
              <a:alpha val="5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080A1C6-B85D-472F-BC4B-8BEF02F57D3B}" type="TxLink">
            <a:rPr lang="en-US" sz="1800" b="1" i="0" u="none" strike="noStrike">
              <a:solidFill>
                <a:srgbClr val="FFFFFF"/>
              </a:solidFill>
              <a:latin typeface="Aptos"/>
              <a:ea typeface="+mn-ea"/>
              <a:cs typeface="+mn-cs"/>
            </a:rPr>
            <a:pPr marL="0" indent="0" algn="ctr"/>
            <a:t>89,850</a:t>
          </a:fld>
          <a:endParaRPr lang="en-IN" sz="1800" b="1" i="0" u="none" strike="noStrike">
            <a:solidFill>
              <a:srgbClr val="FFFFFF"/>
            </a:solidFill>
            <a:latin typeface="Aptos"/>
            <a:ea typeface="+mn-ea"/>
            <a:cs typeface="+mn-cs"/>
          </a:endParaRPr>
        </a:p>
      </xdr:txBody>
    </xdr:sp>
    <xdr:clientData/>
  </xdr:twoCellAnchor>
  <xdr:twoCellAnchor>
    <xdr:from>
      <xdr:col>2</xdr:col>
      <xdr:colOff>311463</xdr:colOff>
      <xdr:row>13</xdr:row>
      <xdr:rowOff>44342</xdr:rowOff>
    </xdr:from>
    <xdr:to>
      <xdr:col>3</xdr:col>
      <xdr:colOff>430525</xdr:colOff>
      <xdr:row>14</xdr:row>
      <xdr:rowOff>95004</xdr:rowOff>
    </xdr:to>
    <xdr:sp macro="" textlink="">
      <xdr:nvSpPr>
        <xdr:cNvPr id="46" name="TextBox 45">
          <a:extLst>
            <a:ext uri="{FF2B5EF4-FFF2-40B4-BE49-F238E27FC236}">
              <a16:creationId xmlns:a16="http://schemas.microsoft.com/office/drawing/2014/main" id="{DC621827-D848-4262-A074-98E2839403E5}"/>
            </a:ext>
          </a:extLst>
        </xdr:cNvPr>
        <xdr:cNvSpPr txBox="1"/>
      </xdr:nvSpPr>
      <xdr:spPr>
        <a:xfrm>
          <a:off x="578163" y="2397017"/>
          <a:ext cx="766762" cy="23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E8EAF6"/>
              </a:solidFill>
              <a:latin typeface="+mn-lt"/>
              <a:ea typeface="+mn-ea"/>
              <a:cs typeface="+mn-cs"/>
            </a:rPr>
            <a:t>Duration</a:t>
          </a:r>
        </a:p>
      </xdr:txBody>
    </xdr:sp>
    <xdr:clientData/>
  </xdr:twoCellAnchor>
  <xdr:twoCellAnchor>
    <xdr:from>
      <xdr:col>2</xdr:col>
      <xdr:colOff>251435</xdr:colOff>
      <xdr:row>16</xdr:row>
      <xdr:rowOff>70750</xdr:rowOff>
    </xdr:from>
    <xdr:to>
      <xdr:col>3</xdr:col>
      <xdr:colOff>375259</xdr:colOff>
      <xdr:row>17</xdr:row>
      <xdr:rowOff>85036</xdr:rowOff>
    </xdr:to>
    <xdr:sp macro="" textlink="Pivots!C9">
      <xdr:nvSpPr>
        <xdr:cNvPr id="48" name="TextBox 47">
          <a:extLst>
            <a:ext uri="{FF2B5EF4-FFF2-40B4-BE49-F238E27FC236}">
              <a16:creationId xmlns:a16="http://schemas.microsoft.com/office/drawing/2014/main" id="{9EFADF5A-49EE-4834-ACB6-C333963E606A}"/>
            </a:ext>
          </a:extLst>
        </xdr:cNvPr>
        <xdr:cNvSpPr txBox="1"/>
      </xdr:nvSpPr>
      <xdr:spPr>
        <a:xfrm>
          <a:off x="518135" y="2956825"/>
          <a:ext cx="771524"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CE80B0-4B31-4753-9576-578F6163B63D}" type="TxLink">
            <a:rPr lang="en-US" sz="1050" b="0" i="0" u="none" strike="noStrike">
              <a:ln>
                <a:noFill/>
              </a:ln>
              <a:solidFill>
                <a:schemeClr val="accent3">
                  <a:lumMod val="40000"/>
                  <a:lumOff val="60000"/>
                </a:schemeClr>
              </a:solidFill>
              <a:latin typeface="Arial" panose="020B0604020202020204" pitchFamily="34" charset="0"/>
              <a:cs typeface="Arial" panose="020B0604020202020204" pitchFamily="34" charset="0"/>
            </a:rPr>
            <a:pPr algn="ctr"/>
            <a:t>16,834</a:t>
          </a:fld>
          <a:endParaRPr lang="en-IN" sz="1050" b="0" i="0" u="none" strike="noStrike">
            <a:ln>
              <a:noFill/>
            </a:ln>
            <a:solidFill>
              <a:schemeClr val="accent3">
                <a:lumMod val="40000"/>
                <a:lumOff val="60000"/>
              </a:schemeClr>
            </a:solidFill>
            <a:latin typeface="Arial" panose="020B0604020202020204" pitchFamily="34" charset="0"/>
            <a:cs typeface="Arial" panose="020B0604020202020204" pitchFamily="34" charset="0"/>
          </a:endParaRPr>
        </a:p>
      </xdr:txBody>
    </xdr:sp>
    <xdr:clientData/>
  </xdr:twoCellAnchor>
  <xdr:twoCellAnchor>
    <xdr:from>
      <xdr:col>2</xdr:col>
      <xdr:colOff>112827</xdr:colOff>
      <xdr:row>19</xdr:row>
      <xdr:rowOff>34705</xdr:rowOff>
    </xdr:from>
    <xdr:to>
      <xdr:col>3</xdr:col>
      <xdr:colOff>556294</xdr:colOff>
      <xdr:row>23</xdr:row>
      <xdr:rowOff>130337</xdr:rowOff>
    </xdr:to>
    <xdr:sp macro="" textlink="Pivots!D4">
      <xdr:nvSpPr>
        <xdr:cNvPr id="49" name="Rectangle 48">
          <a:extLst>
            <a:ext uri="{FF2B5EF4-FFF2-40B4-BE49-F238E27FC236}">
              <a16:creationId xmlns:a16="http://schemas.microsoft.com/office/drawing/2014/main" id="{B189B872-F82A-4106-B61F-CB2263B2E2DC}"/>
            </a:ext>
          </a:extLst>
        </xdr:cNvPr>
        <xdr:cNvSpPr/>
      </xdr:nvSpPr>
      <xdr:spPr>
        <a:xfrm>
          <a:off x="379527" y="3449418"/>
          <a:ext cx="1091167" cy="819532"/>
        </a:xfrm>
        <a:prstGeom prst="rect">
          <a:avLst/>
        </a:prstGeom>
        <a:solidFill>
          <a:schemeClr val="tx2">
            <a:lumMod val="60000"/>
            <a:lumOff val="40000"/>
          </a:schemeClr>
        </a:solidFill>
        <a:effectLst>
          <a:outerShdw blurRad="254000" dist="114300" dir="2700000" algn="tl" rotWithShape="0">
            <a:schemeClr val="tx1">
              <a:alpha val="5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874E92-35D6-43E5-B928-D25321CD77CF}" type="TxLink">
            <a:rPr lang="en-US" sz="1800" b="1" i="0" u="none" strike="noStrike">
              <a:solidFill>
                <a:srgbClr val="FFFFFF"/>
              </a:solidFill>
              <a:latin typeface="Aptos"/>
              <a:ea typeface="+mn-ea"/>
              <a:cs typeface="+mn-cs"/>
            </a:rPr>
            <a:pPr marL="0" indent="0" algn="ctr"/>
            <a:t>3.9</a:t>
          </a:fld>
          <a:endParaRPr lang="en-IN" sz="1800" b="1" i="0" u="none" strike="noStrike">
            <a:solidFill>
              <a:srgbClr val="FFFFFF"/>
            </a:solidFill>
            <a:latin typeface="Aptos"/>
            <a:ea typeface="+mn-ea"/>
            <a:cs typeface="+mn-cs"/>
          </a:endParaRPr>
        </a:p>
      </xdr:txBody>
    </xdr:sp>
    <xdr:clientData/>
  </xdr:twoCellAnchor>
  <xdr:twoCellAnchor>
    <xdr:from>
      <xdr:col>2</xdr:col>
      <xdr:colOff>298566</xdr:colOff>
      <xdr:row>19</xdr:row>
      <xdr:rowOff>53070</xdr:rowOff>
    </xdr:from>
    <xdr:to>
      <xdr:col>3</xdr:col>
      <xdr:colOff>598602</xdr:colOff>
      <xdr:row>20</xdr:row>
      <xdr:rowOff>114053</xdr:rowOff>
    </xdr:to>
    <xdr:sp macro="" textlink="">
      <xdr:nvSpPr>
        <xdr:cNvPr id="50" name="TextBox 49">
          <a:extLst>
            <a:ext uri="{FF2B5EF4-FFF2-40B4-BE49-F238E27FC236}">
              <a16:creationId xmlns:a16="http://schemas.microsoft.com/office/drawing/2014/main" id="{C70CA375-C2E3-4892-86DB-FFA8CFE41208}"/>
            </a:ext>
          </a:extLst>
        </xdr:cNvPr>
        <xdr:cNvSpPr txBox="1"/>
      </xdr:nvSpPr>
      <xdr:spPr>
        <a:xfrm>
          <a:off x="565266" y="3467783"/>
          <a:ext cx="947736" cy="241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E8EAF6"/>
              </a:solidFill>
            </a:rPr>
            <a:t>Avg</a:t>
          </a:r>
          <a:r>
            <a:rPr lang="en-IN" sz="1200" baseline="0">
              <a:solidFill>
                <a:srgbClr val="E8EAF6"/>
              </a:solidFill>
            </a:rPr>
            <a:t>. </a:t>
          </a:r>
          <a:r>
            <a:rPr lang="en-IN" sz="1050" baseline="0">
              <a:solidFill>
                <a:srgbClr val="E8EAF6"/>
              </a:solidFill>
            </a:rPr>
            <a:t>Rating</a:t>
          </a:r>
          <a:endParaRPr lang="en-IN" sz="1200" baseline="0">
            <a:solidFill>
              <a:srgbClr val="E8EAF6"/>
            </a:solidFill>
          </a:endParaRPr>
        </a:p>
        <a:p>
          <a:pPr algn="ctr"/>
          <a:endParaRPr lang="en-IN" sz="1100" baseline="0">
            <a:solidFill>
              <a:srgbClr val="E8EAF6"/>
            </a:solidFill>
          </a:endParaRPr>
        </a:p>
      </xdr:txBody>
    </xdr:sp>
    <xdr:clientData/>
  </xdr:twoCellAnchor>
  <xdr:twoCellAnchor>
    <xdr:from>
      <xdr:col>2</xdr:col>
      <xdr:colOff>286162</xdr:colOff>
      <xdr:row>22</xdr:row>
      <xdr:rowOff>70750</xdr:rowOff>
    </xdr:from>
    <xdr:to>
      <xdr:col>3</xdr:col>
      <xdr:colOff>409986</xdr:colOff>
      <xdr:row>23</xdr:row>
      <xdr:rowOff>85036</xdr:rowOff>
    </xdr:to>
    <xdr:sp macro="" textlink="Pivots!D9">
      <xdr:nvSpPr>
        <xdr:cNvPr id="52" name="TextBox 51">
          <a:extLst>
            <a:ext uri="{FF2B5EF4-FFF2-40B4-BE49-F238E27FC236}">
              <a16:creationId xmlns:a16="http://schemas.microsoft.com/office/drawing/2014/main" id="{AC1B0DFF-62F3-4557-BB9D-D3CD4B36C27B}"/>
            </a:ext>
          </a:extLst>
        </xdr:cNvPr>
        <xdr:cNvSpPr txBox="1"/>
      </xdr:nvSpPr>
      <xdr:spPr>
        <a:xfrm>
          <a:off x="552862" y="4028388"/>
          <a:ext cx="771524" cy="195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99440F-40F1-4EB8-87B4-DF3CF94D07F7}" type="TxLink">
            <a:rPr lang="en-US" sz="105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rPr>
            <a:pPr marL="0" indent="0" algn="ctr"/>
            <a:t>3.9</a:t>
          </a:fld>
          <a:endParaRPr lang="en-IN" sz="105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86263</xdr:colOff>
      <xdr:row>24</xdr:row>
      <xdr:rowOff>173090</xdr:rowOff>
    </xdr:from>
    <xdr:to>
      <xdr:col>3</xdr:col>
      <xdr:colOff>529498</xdr:colOff>
      <xdr:row>28</xdr:row>
      <xdr:rowOff>85566</xdr:rowOff>
    </xdr:to>
    <xdr:sp macro="" textlink="Pivots!E4">
      <xdr:nvSpPr>
        <xdr:cNvPr id="53" name="Rectangle 52">
          <a:extLst>
            <a:ext uri="{FF2B5EF4-FFF2-40B4-BE49-F238E27FC236}">
              <a16:creationId xmlns:a16="http://schemas.microsoft.com/office/drawing/2014/main" id="{C63C2F58-9FC1-45C7-BF9E-6E6718704524}"/>
            </a:ext>
          </a:extLst>
        </xdr:cNvPr>
        <xdr:cNvSpPr/>
      </xdr:nvSpPr>
      <xdr:spPr>
        <a:xfrm>
          <a:off x="352963" y="4492678"/>
          <a:ext cx="1090935" cy="945938"/>
        </a:xfrm>
        <a:prstGeom prst="rect">
          <a:avLst/>
        </a:prstGeom>
        <a:solidFill>
          <a:schemeClr val="tx2">
            <a:lumMod val="60000"/>
            <a:lumOff val="40000"/>
          </a:schemeClr>
        </a:solidFill>
        <a:effectLst>
          <a:outerShdw blurRad="254000" dist="114300" dir="2700000" algn="tl" rotWithShape="0">
            <a:schemeClr val="tx1">
              <a:alpha val="5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A1E1B52-8665-46A0-BDDA-39989F270953}" type="TxLink">
            <a:rPr lang="en-US" sz="2800" b="1" i="0" u="none" strike="noStrike">
              <a:solidFill>
                <a:srgbClr val="FFFFFF"/>
              </a:solidFill>
              <a:latin typeface="Aptos"/>
              <a:ea typeface="+mn-ea"/>
              <a:cs typeface="+mn-cs"/>
            </a:rPr>
            <a:pPr marL="0" indent="0" algn="ctr"/>
            <a:t>307</a:t>
          </a:fld>
          <a:endParaRPr lang="en-IN" sz="2800" b="1" i="0" u="none" strike="noStrike">
            <a:solidFill>
              <a:srgbClr val="FFFFFF"/>
            </a:solidFill>
            <a:latin typeface="Aptos"/>
            <a:ea typeface="+mn-ea"/>
            <a:cs typeface="+mn-cs"/>
          </a:endParaRPr>
        </a:p>
      </xdr:txBody>
    </xdr:sp>
    <xdr:clientData/>
  </xdr:twoCellAnchor>
  <xdr:twoCellAnchor>
    <xdr:from>
      <xdr:col>2</xdr:col>
      <xdr:colOff>189167</xdr:colOff>
      <xdr:row>25</xdr:row>
      <xdr:rowOff>4098</xdr:rowOff>
    </xdr:from>
    <xdr:to>
      <xdr:col>4</xdr:col>
      <xdr:colOff>17626</xdr:colOff>
      <xdr:row>25</xdr:row>
      <xdr:rowOff>281654</xdr:rowOff>
    </xdr:to>
    <xdr:sp macro="" textlink="">
      <xdr:nvSpPr>
        <xdr:cNvPr id="54" name="TextBox 53">
          <a:extLst>
            <a:ext uri="{FF2B5EF4-FFF2-40B4-BE49-F238E27FC236}">
              <a16:creationId xmlns:a16="http://schemas.microsoft.com/office/drawing/2014/main" id="{59F84029-2ECC-45D6-81D1-3A059DEB2E8C}"/>
            </a:ext>
          </a:extLst>
        </xdr:cNvPr>
        <xdr:cNvSpPr txBox="1"/>
      </xdr:nvSpPr>
      <xdr:spPr>
        <a:xfrm>
          <a:off x="455867" y="4504661"/>
          <a:ext cx="1123859" cy="277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aseline="0">
              <a:solidFill>
                <a:srgbClr val="E8EAF6"/>
              </a:solidFill>
            </a:rPr>
            <a:t>Happy </a:t>
          </a:r>
          <a:r>
            <a:rPr lang="en-IN" sz="900" baseline="0">
              <a:solidFill>
                <a:srgbClr val="C5CAE9"/>
              </a:solidFill>
            </a:rPr>
            <a:t>Customers</a:t>
          </a:r>
          <a:endParaRPr lang="en-IN" sz="800" baseline="0">
            <a:solidFill>
              <a:srgbClr val="C5CAE9"/>
            </a:solidFill>
          </a:endParaRPr>
        </a:p>
        <a:p>
          <a:pPr algn="ctr"/>
          <a:endParaRPr lang="en-IN" sz="700" baseline="0">
            <a:solidFill>
              <a:srgbClr val="E8EAF6"/>
            </a:solidFill>
          </a:endParaRPr>
        </a:p>
      </xdr:txBody>
    </xdr:sp>
    <xdr:clientData/>
  </xdr:twoCellAnchor>
  <xdr:twoCellAnchor>
    <xdr:from>
      <xdr:col>2</xdr:col>
      <xdr:colOff>256396</xdr:colOff>
      <xdr:row>27</xdr:row>
      <xdr:rowOff>122737</xdr:rowOff>
    </xdr:from>
    <xdr:to>
      <xdr:col>3</xdr:col>
      <xdr:colOff>380220</xdr:colOff>
      <xdr:row>28</xdr:row>
      <xdr:rowOff>7644</xdr:rowOff>
    </xdr:to>
    <xdr:sp macro="" textlink="Pivots!E9">
      <xdr:nvSpPr>
        <xdr:cNvPr id="56" name="TextBox 55">
          <a:extLst>
            <a:ext uri="{FF2B5EF4-FFF2-40B4-BE49-F238E27FC236}">
              <a16:creationId xmlns:a16="http://schemas.microsoft.com/office/drawing/2014/main" id="{75F1C55C-5B1A-47EB-A58B-AF70B2B75756}"/>
            </a:ext>
          </a:extLst>
        </xdr:cNvPr>
        <xdr:cNvSpPr txBox="1"/>
      </xdr:nvSpPr>
      <xdr:spPr>
        <a:xfrm>
          <a:off x="523096" y="5142412"/>
          <a:ext cx="771524" cy="8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8E895F-CED0-4163-AED4-6FFB521196D1}" type="TxLink">
            <a:rPr lang="en-US" sz="105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rPr>
            <a:pPr marL="0" indent="0" algn="ctr"/>
            <a:t>60</a:t>
          </a:fld>
          <a:endParaRPr lang="en-IN" sz="1050" b="0" i="0" u="none" strike="noStrike">
            <a:ln>
              <a:noFill/>
            </a:ln>
            <a:solidFill>
              <a:schemeClr val="accent3">
                <a:lumMod val="40000"/>
                <a:lumOff val="60000"/>
              </a:schemeClr>
            </a:solidFill>
            <a:latin typeface="Arial" panose="020B0604020202020204" pitchFamily="34" charset="0"/>
            <a:ea typeface="+mn-ea"/>
            <a:cs typeface="Arial" panose="020B0604020202020204" pitchFamily="34" charset="0"/>
          </a:endParaRPr>
        </a:p>
      </xdr:txBody>
    </xdr:sp>
    <xdr:clientData/>
  </xdr:twoCellAnchor>
  <xdr:twoCellAnchor editAs="oneCell">
    <xdr:from>
      <xdr:col>2</xdr:col>
      <xdr:colOff>162766</xdr:colOff>
      <xdr:row>7</xdr:row>
      <xdr:rowOff>66428</xdr:rowOff>
    </xdr:from>
    <xdr:to>
      <xdr:col>2</xdr:col>
      <xdr:colOff>344801</xdr:colOff>
      <xdr:row>8</xdr:row>
      <xdr:rowOff>55451</xdr:rowOff>
    </xdr:to>
    <xdr:pic>
      <xdr:nvPicPr>
        <xdr:cNvPr id="57" name="Graphic 56" descr="Shopping cart with solid fill">
          <a:extLst>
            <a:ext uri="{FF2B5EF4-FFF2-40B4-BE49-F238E27FC236}">
              <a16:creationId xmlns:a16="http://schemas.microsoft.com/office/drawing/2014/main" id="{B7C4618C-2CC0-4735-984F-23098509DF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9466" y="1333253"/>
          <a:ext cx="182035" cy="169998"/>
        </a:xfrm>
        <a:prstGeom prst="rect">
          <a:avLst/>
        </a:prstGeom>
        <a:effectLst>
          <a:outerShdw blurRad="254000" dist="114300" dir="2700000" algn="tl" rotWithShape="0">
            <a:schemeClr val="tx1">
              <a:alpha val="55000"/>
            </a:schemeClr>
          </a:outerShdw>
        </a:effectLst>
      </xdr:spPr>
    </xdr:pic>
    <xdr:clientData/>
  </xdr:twoCellAnchor>
  <xdr:twoCellAnchor editAs="oneCell">
    <xdr:from>
      <xdr:col>2</xdr:col>
      <xdr:colOff>136639</xdr:colOff>
      <xdr:row>19</xdr:row>
      <xdr:rowOff>56903</xdr:rowOff>
    </xdr:from>
    <xdr:to>
      <xdr:col>2</xdr:col>
      <xdr:colOff>398577</xdr:colOff>
      <xdr:row>20</xdr:row>
      <xdr:rowOff>127877</xdr:rowOff>
    </xdr:to>
    <xdr:pic>
      <xdr:nvPicPr>
        <xdr:cNvPr id="59" name="Graphic 58" descr="Rating Star with solid fill">
          <a:extLst>
            <a:ext uri="{FF2B5EF4-FFF2-40B4-BE49-F238E27FC236}">
              <a16:creationId xmlns:a16="http://schemas.microsoft.com/office/drawing/2014/main" id="{34E4494B-C42E-4600-BCDC-56D631A849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3339" y="3471616"/>
          <a:ext cx="261938" cy="251949"/>
        </a:xfrm>
        <a:prstGeom prst="rect">
          <a:avLst/>
        </a:prstGeom>
      </xdr:spPr>
    </xdr:pic>
    <xdr:clientData/>
  </xdr:twoCellAnchor>
  <xdr:twoCellAnchor editAs="oneCell">
    <xdr:from>
      <xdr:col>2</xdr:col>
      <xdr:colOff>102111</xdr:colOff>
      <xdr:row>25</xdr:row>
      <xdr:rowOff>742</xdr:rowOff>
    </xdr:from>
    <xdr:to>
      <xdr:col>2</xdr:col>
      <xdr:colOff>330418</xdr:colOff>
      <xdr:row>25</xdr:row>
      <xdr:rowOff>219817</xdr:rowOff>
    </xdr:to>
    <xdr:pic>
      <xdr:nvPicPr>
        <xdr:cNvPr id="60" name="Graphic 59" descr="Star-struck face outline with solid fill">
          <a:extLst>
            <a:ext uri="{FF2B5EF4-FFF2-40B4-BE49-F238E27FC236}">
              <a16:creationId xmlns:a16="http://schemas.microsoft.com/office/drawing/2014/main" id="{EE362D55-3C77-4A54-8E58-3E9E23D4CF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8811" y="4501305"/>
          <a:ext cx="228307" cy="219075"/>
        </a:xfrm>
        <a:prstGeom prst="rect">
          <a:avLst/>
        </a:prstGeom>
      </xdr:spPr>
    </xdr:pic>
    <xdr:clientData/>
  </xdr:twoCellAnchor>
  <xdr:twoCellAnchor>
    <xdr:from>
      <xdr:col>4</xdr:col>
      <xdr:colOff>306700</xdr:colOff>
      <xdr:row>1</xdr:row>
      <xdr:rowOff>25181</xdr:rowOff>
    </xdr:from>
    <xdr:to>
      <xdr:col>10</xdr:col>
      <xdr:colOff>330512</xdr:colOff>
      <xdr:row>12</xdr:row>
      <xdr:rowOff>48994</xdr:rowOff>
    </xdr:to>
    <xdr:graphicFrame macro="">
      <xdr:nvGraphicFramePr>
        <xdr:cNvPr id="62" name="Chart 61">
          <a:extLst>
            <a:ext uri="{FF2B5EF4-FFF2-40B4-BE49-F238E27FC236}">
              <a16:creationId xmlns:a16="http://schemas.microsoft.com/office/drawing/2014/main" id="{10BFBB26-C851-4ED8-AFE7-DC2A44550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299242</xdr:colOff>
      <xdr:row>13</xdr:row>
      <xdr:rowOff>4016</xdr:rowOff>
    </xdr:from>
    <xdr:to>
      <xdr:col>11</xdr:col>
      <xdr:colOff>231322</xdr:colOff>
      <xdr:row>29</xdr:row>
      <xdr:rowOff>18143</xdr:rowOff>
    </xdr:to>
    <xdr:sp macro="" textlink="">
      <xdr:nvSpPr>
        <xdr:cNvPr id="7" name="Rectangle 6">
          <a:extLst>
            <a:ext uri="{FF2B5EF4-FFF2-40B4-BE49-F238E27FC236}">
              <a16:creationId xmlns:a16="http://schemas.microsoft.com/office/drawing/2014/main" id="{F44BE1A1-64F6-B0B2-02BF-C02272CB203E}"/>
            </a:ext>
          </a:extLst>
        </xdr:cNvPr>
        <xdr:cNvSpPr/>
      </xdr:nvSpPr>
      <xdr:spPr>
        <a:xfrm>
          <a:off x="1859528" y="2362587"/>
          <a:ext cx="4417902" cy="307119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331107</xdr:colOff>
      <xdr:row>13</xdr:row>
      <xdr:rowOff>15658</xdr:rowOff>
    </xdr:from>
    <xdr:to>
      <xdr:col>7</xdr:col>
      <xdr:colOff>435288</xdr:colOff>
      <xdr:row>29</xdr:row>
      <xdr:rowOff>4536</xdr:rowOff>
    </xdr:to>
    <xdr:graphicFrame macro="">
      <xdr:nvGraphicFramePr>
        <xdr:cNvPr id="5" name="Chart 4">
          <a:extLst>
            <a:ext uri="{FF2B5EF4-FFF2-40B4-BE49-F238E27FC236}">
              <a16:creationId xmlns:a16="http://schemas.microsoft.com/office/drawing/2014/main" id="{9167742C-A602-4687-8BF8-D3BA0E453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480785</xdr:colOff>
      <xdr:row>14</xdr:row>
      <xdr:rowOff>158750</xdr:rowOff>
    </xdr:from>
    <xdr:to>
      <xdr:col>11</xdr:col>
      <xdr:colOff>213179</xdr:colOff>
      <xdr:row>29</xdr:row>
      <xdr:rowOff>0</xdr:rowOff>
    </xdr:to>
    <xdr:graphicFrame macro="">
      <xdr:nvGraphicFramePr>
        <xdr:cNvPr id="6" name="Chart 5">
          <a:extLst>
            <a:ext uri="{FF2B5EF4-FFF2-40B4-BE49-F238E27FC236}">
              <a16:creationId xmlns:a16="http://schemas.microsoft.com/office/drawing/2014/main" id="{38E21A62-40F8-4FD3-B932-15B76CD07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511488</xdr:colOff>
      <xdr:row>13</xdr:row>
      <xdr:rowOff>20421</xdr:rowOff>
    </xdr:from>
    <xdr:to>
      <xdr:col>9</xdr:col>
      <xdr:colOff>573400</xdr:colOff>
      <xdr:row>14</xdr:row>
      <xdr:rowOff>85481</xdr:rowOff>
    </xdr:to>
    <xdr:sp macro="" textlink="">
      <xdr:nvSpPr>
        <xdr:cNvPr id="8" name="TextBox 7">
          <a:extLst>
            <a:ext uri="{FF2B5EF4-FFF2-40B4-BE49-F238E27FC236}">
              <a16:creationId xmlns:a16="http://schemas.microsoft.com/office/drawing/2014/main" id="{1055A207-0691-FFF2-6C63-513F30B099F8}"/>
            </a:ext>
          </a:extLst>
        </xdr:cNvPr>
        <xdr:cNvSpPr txBox="1"/>
      </xdr:nvSpPr>
      <xdr:spPr>
        <a:xfrm>
          <a:off x="4016688" y="2373096"/>
          <a:ext cx="1357312" cy="2460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5B64B6"/>
              </a:solidFill>
            </a:rPr>
            <a:t>Amount</a:t>
          </a:r>
        </a:p>
      </xdr:txBody>
    </xdr:sp>
    <xdr:clientData/>
  </xdr:twoCellAnchor>
  <xdr:twoCellAnchor>
    <xdr:from>
      <xdr:col>14</xdr:col>
      <xdr:colOff>447684</xdr:colOff>
      <xdr:row>1</xdr:row>
      <xdr:rowOff>44648</xdr:rowOff>
    </xdr:from>
    <xdr:to>
      <xdr:col>18</xdr:col>
      <xdr:colOff>167688</xdr:colOff>
      <xdr:row>13</xdr:row>
      <xdr:rowOff>74414</xdr:rowOff>
    </xdr:to>
    <xdr:graphicFrame macro="">
      <xdr:nvGraphicFramePr>
        <xdr:cNvPr id="9" name="Chart 8">
          <a:extLst>
            <a:ext uri="{FF2B5EF4-FFF2-40B4-BE49-F238E27FC236}">
              <a16:creationId xmlns:a16="http://schemas.microsoft.com/office/drawing/2014/main" id="{F4858B47-451F-44E9-8EA7-706311459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224443</xdr:colOff>
      <xdr:row>1</xdr:row>
      <xdr:rowOff>44649</xdr:rowOff>
    </xdr:from>
    <xdr:to>
      <xdr:col>22</xdr:col>
      <xdr:colOff>14287</xdr:colOff>
      <xdr:row>13</xdr:row>
      <xdr:rowOff>114300</xdr:rowOff>
    </xdr:to>
    <xdr:graphicFrame macro="">
      <xdr:nvGraphicFramePr>
        <xdr:cNvPr id="4" name="Chart 3">
          <a:extLst>
            <a:ext uri="{FF2B5EF4-FFF2-40B4-BE49-F238E27FC236}">
              <a16:creationId xmlns:a16="http://schemas.microsoft.com/office/drawing/2014/main" id="{FF849409-959D-4B86-8C70-31D2DC3F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159130</xdr:colOff>
      <xdr:row>13</xdr:row>
      <xdr:rowOff>73310</xdr:rowOff>
    </xdr:from>
    <xdr:to>
      <xdr:col>2</xdr:col>
      <xdr:colOff>341575</xdr:colOff>
      <xdr:row>14</xdr:row>
      <xdr:rowOff>71112</xdr:rowOff>
    </xdr:to>
    <xdr:pic>
      <xdr:nvPicPr>
        <xdr:cNvPr id="2" name="Graphic 1" descr="Hourglass Finished with solid fill">
          <a:extLst>
            <a:ext uri="{FF2B5EF4-FFF2-40B4-BE49-F238E27FC236}">
              <a16:creationId xmlns:a16="http://schemas.microsoft.com/office/drawing/2014/main" id="{AE56B5CF-CF79-4F06-B4F2-E65FE84DB15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5830" y="2425985"/>
          <a:ext cx="182445" cy="178777"/>
        </a:xfrm>
        <a:prstGeom prst="rect">
          <a:avLst/>
        </a:prstGeom>
      </xdr:spPr>
    </xdr:pic>
    <xdr:clientData/>
  </xdr:twoCellAnchor>
  <xdr:twoCellAnchor>
    <xdr:from>
      <xdr:col>10</xdr:col>
      <xdr:colOff>385763</xdr:colOff>
      <xdr:row>1</xdr:row>
      <xdr:rowOff>42862</xdr:rowOff>
    </xdr:from>
    <xdr:to>
      <xdr:col>14</xdr:col>
      <xdr:colOff>357188</xdr:colOff>
      <xdr:row>12</xdr:row>
      <xdr:rowOff>61913</xdr:rowOff>
    </xdr:to>
    <xdr:graphicFrame macro="">
      <xdr:nvGraphicFramePr>
        <xdr:cNvPr id="10" name="Chart 9">
          <a:extLst>
            <a:ext uri="{FF2B5EF4-FFF2-40B4-BE49-F238E27FC236}">
              <a16:creationId xmlns:a16="http://schemas.microsoft.com/office/drawing/2014/main" id="{5BF5239B-5ED5-4E74-94B2-5928B6168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0.0312</cdr:x>
      <cdr:y>0</cdr:y>
    </cdr:from>
    <cdr:to>
      <cdr:x>0.9863</cdr:x>
      <cdr:y>0.07367</cdr:y>
    </cdr:to>
    <cdr:sp macro="" textlink="">
      <cdr:nvSpPr>
        <cdr:cNvPr id="2" name="TextBox 7">
          <a:extLst xmlns:a="http://schemas.openxmlformats.org/drawingml/2006/main">
            <a:ext uri="{FF2B5EF4-FFF2-40B4-BE49-F238E27FC236}">
              <a16:creationId xmlns:a16="http://schemas.microsoft.com/office/drawing/2014/main" id="{1055A207-0691-FFF2-6C63-513F30B099F8}"/>
            </a:ext>
          </a:extLst>
        </cdr:cNvPr>
        <cdr:cNvSpPr txBox="1"/>
      </cdr:nvSpPr>
      <cdr:spPr>
        <a:xfrm xmlns:a="http://schemas.openxmlformats.org/drawingml/2006/main">
          <a:off x="65088" y="0"/>
          <a:ext cx="1992314" cy="223838"/>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solidFill>
                <a:srgbClr val="5B64B6"/>
              </a:solidFill>
            </a:rPr>
            <a:t>Calls</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2.537938773145" backgroundQuery="1" createdVersion="8" refreshedVersion="8" minRefreshableVersion="3" recordCount="0" supportSubquery="1" supportAdvancedDrill="1" xr:uid="{4A4A2AA7-8B9E-4D1E-97BF-9FB9F363E1C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ustomer ID]" caption="Count of Customer ID" numFmtId="0" hierarchy="33"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2.537939699076" backgroundQuery="1" createdVersion="8" refreshedVersion="8" minRefreshableVersion="3" recordCount="0" supportSubquery="1" supportAdvancedDrill="1" xr:uid="{71CD3D29-F773-45EA-95B6-4175D4E24863}">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2.537940393522" backgroundQuery="1" createdVersion="8" refreshedVersion="8" minRefreshableVersion="3" recordCount="0" supportSubquery="1" supportAdvancedDrill="1" xr:uid="{A5890D32-C0AA-4C6D-98AE-B677F39D1E3B}">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2.649391550927" backgroundQuery="1" createdVersion="8" refreshedVersion="8" minRefreshableVersion="3" recordCount="0" supportSubquery="1" supportAdvancedDrill="1" xr:uid="{938EB953-6F2A-4813-AA4E-75B9CA0E89BE}">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626282638892" backgroundQuery="1" createdVersion="8" refreshedVersion="8" minRefreshableVersion="3" recordCount="0" supportSubquery="1" supportAdvancedDrill="1" xr:uid="{A33504D9-61E6-443A-8EB5-02E5607D779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626283217593" backgroundQuery="1" createdVersion="8" refreshedVersion="8" minRefreshableVersion="3" recordCount="0" supportSubquery="1" supportAdvancedDrill="1" xr:uid="{12635E8D-0DF9-497F-82B9-74114C00CF2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9" level="32767">
      <extLst>
        <ext xmlns:x14="http://schemas.microsoft.com/office/spreadsheetml/2009/9/main" uri="{63CAB8AC-B538-458d-9737-405883B0398D}">
          <x14:cacheField ignore="1"/>
        </ext>
      </extLst>
    </cacheField>
  </cacheFields>
  <cacheHierarchies count="4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626283680554" backgroundQuery="1" createdVersion="8" refreshedVersion="8" minRefreshableVersion="3" recordCount="0" supportSubquery="1" supportAdvancedDrill="1" xr:uid="{A1A20E8A-647A-4CEB-8228-99149D971228}">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626284027778" backgroundQuery="1" createdVersion="8" refreshedVersion="8" minRefreshableVersion="3" recordCount="0" supportSubquery="1" supportAdvancedDrill="1" xr:uid="{43C2E7FB-5FF0-4DEE-8F65-F47CC02331C7}">
  <cacheSource type="external" connectionId="1"/>
  <cacheFields count="1">
    <cacheField name="[calls].[Representative].[Representative]" caption="Representative" numFmtId="0" hierarchy="3" level="1">
      <sharedItems count="1">
        <s v="R01"/>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4.626284375001" backgroundQuery="1" createdVersion="8" refreshedVersion="8" minRefreshableVersion="3" recordCount="0" supportSubquery="1" supportAdvancedDrill="1" xr:uid="{8B42E9B2-8F59-4C39-B55F-EB3B0D7424A9}">
  <cacheSource type="external" connectionId="1"/>
  <cacheFields count="3">
    <cacheField name="[Measures].[Count of Call number]" caption="Count of Call number" numFmtId="0" hierarchy="30"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2.537931597224" backgroundQuery="1" createdVersion="3" refreshedVersion="8" minRefreshableVersion="3" recordCount="0" supportSubquery="1" supportAdvancedDrill="1" xr:uid="{898AAA05-7F3A-479F-A1E7-1D0FAA7AEB31}">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Satisfaction Rating]" caption="Count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Date of Call (Month)]" caption="Count of Date of Call (Month)" measure="1" displayFolder="" measureGroup="cal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161015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160B9-DE6A-4941-9999-643E5C3FF52D}" name="selecteed reps" cacheId="128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0:A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5">
      <pivotArea dataOnly="0" fieldPosition="0">
        <references count="1">
          <reference field="0" count="0"/>
        </references>
      </pivotArea>
    </format>
    <format dxfId="16">
      <pivotArea dataOnly="0" labelOnly="1" fieldPosition="0">
        <references count="1">
          <reference field="0" count="0"/>
        </references>
      </pivotArea>
    </format>
  </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343A4-B28B-43F9-BB88-42D55D087C03}" name="summary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EEB46-F3D8-4BB4-BDF5-4BDE1A79B3C6}" name="monthly trend" cacheId="128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6">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DFE999-F040-43CF-B0D9-88DD8FA452A7}" name="Customer_Revenu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3:G10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sortType="ascending" defaultSubtotal="0" defaultAttributeDrillState="1">
      <items count="3">
        <item x="0"/>
        <item x="1"/>
        <item x="2"/>
      </items>
    </pivotField>
    <pivotField dataField="1" subtotalTop="0" showAll="0" defaultSubtotal="0"/>
    <pivotField axis="axisRow" allDrilled="1" subtotalTop="0" showAll="0" sortType="ascending" defaultSubtotal="0" defaultAttributeDrillState="1">
      <items count="15">
        <item x="10"/>
        <item x="4"/>
        <item x="0"/>
        <item x="1"/>
        <item x="11"/>
        <item x="12"/>
        <item x="5"/>
        <item x="6"/>
        <item x="13"/>
        <item x="7"/>
        <item x="2"/>
        <item x="3"/>
        <item x="8"/>
        <item x="14"/>
        <item x="9"/>
      </items>
    </pivotField>
  </pivotFields>
  <rowFields count="2">
    <field x="1"/>
    <field x="3"/>
  </rowFields>
  <rowItems count="18">
    <i>
      <x/>
    </i>
    <i r="1">
      <x v="2"/>
    </i>
    <i r="1">
      <x v="3"/>
    </i>
    <i r="1">
      <x v="10"/>
    </i>
    <i r="1">
      <x v="11"/>
    </i>
    <i>
      <x v="1"/>
    </i>
    <i r="1">
      <x v="1"/>
    </i>
    <i r="1">
      <x v="6"/>
    </i>
    <i r="1">
      <x v="7"/>
    </i>
    <i r="1">
      <x v="9"/>
    </i>
    <i r="1">
      <x v="12"/>
    </i>
    <i r="1">
      <x v="14"/>
    </i>
    <i>
      <x v="2"/>
    </i>
    <i r="1">
      <x/>
    </i>
    <i r="1">
      <x v="4"/>
    </i>
    <i r="1">
      <x v="5"/>
    </i>
    <i r="1">
      <x v="8"/>
    </i>
    <i r="1">
      <x v="13"/>
    </i>
  </rowItems>
  <colFields count="1">
    <field x="0"/>
  </colFields>
  <colItems count="6">
    <i>
      <x/>
    </i>
    <i>
      <x v="1"/>
    </i>
    <i>
      <x v="2"/>
    </i>
    <i>
      <x v="3"/>
    </i>
    <i>
      <x v="4"/>
    </i>
    <i t="grand">
      <x/>
    </i>
  </colItems>
  <dataFields count="1">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1111D-BD53-4374-8EF3-967C472B320B}" name="reps_satisfaction" cacheId="129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location ref="A71:B77"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ating rounded"/>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1AF6E-05B3-4FDF-8F36-E2588EE30D05}" name="rep pivot" cacheId="1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688437-BBDF-417A-A007-B81439CD1B3B}" name="weekday trend" cacheId="128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7">
  <location ref="G13:H2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BE9696-781E-476F-AD51-D9E25BB10377}" name="representative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17BD7-D6DF-4A90-A439-3A9BD543A5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D6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ustomer ID" fld="2" subtotal="count" baseField="0" baseItem="0"/>
  </dataFields>
  <chartFormats count="3">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Laptop Pusheen</v>
  </rv>
  <rv s="0">
    <v>3</v>
    <v>5</v>
    <v>Young businessman writing on notebook</v>
  </rv>
  <rv s="0">
    <v>4</v>
    <v>5</v>
    <v>Business woman shrugging</v>
  </rv>
  <rv s="0">
    <v>0</v>
    <v>4</v>
    <v>A person in a skirt and a cardigan
Description automatically generated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BB854A1-5049-49DF-998F-5BFEBE0CCB0A}" sourceName="[calls].[Representative]">
  <pivotTables>
    <pivotTable tabId="6" name="rep pivot"/>
    <pivotTable tabId="6" name="monthly trend"/>
    <pivotTable tabId="6" name="weekday trend"/>
    <pivotTable tabId="6" name="selecteed reps"/>
    <pivotTable tabId="6" name="reps_satisfaction"/>
  </pivotTables>
  <data>
    <olap pivotCacheId="121610151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10CC916-0BDA-42C6-A911-2EFF47D85331}" cache="Slicer_Representative" caption="Representative" level="1" style="Custom__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4" headerRowBorderDxfId="23" tableBorderDxfId="22" totalsRowBorderDxfId="21">
  <autoFilter ref="Q3:T18" xr:uid="{27158F51-A707-4171-8A04-81FB0AABCBA5}"/>
  <tableColumns count="4">
    <tableColumn id="1" xr3:uid="{02688061-6A8C-4E23-B7FF-D00CD8B58CAC}" name="Customer ID" dataDxfId="20"/>
    <tableColumn id="2" xr3:uid="{771678B6-DB44-426B-9874-B4E421A440D5}" name="Gedn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B5" sqref="B5"/>
    </sheetView>
  </sheetViews>
  <sheetFormatPr defaultRowHeight="14.25" x14ac:dyDescent="0.45"/>
  <cols>
    <col min="1" max="1" width="3.265625" customWidth="1"/>
    <col min="2" max="2" width="14.59765625" customWidth="1"/>
    <col min="3" max="3" width="12.86328125" customWidth="1"/>
    <col min="4" max="4" width="16.59765625" customWidth="1"/>
    <col min="5" max="5" width="15" customWidth="1"/>
    <col min="6" max="6" width="16.1328125" customWidth="1"/>
    <col min="7" max="7" width="17.265625" customWidth="1"/>
    <col min="8" max="8" width="18.3984375" customWidth="1"/>
    <col min="9" max="9" width="17.265625" customWidth="1"/>
    <col min="10" max="12" width="15.46484375" customWidth="1"/>
    <col min="13" max="16" width="7.46484375" customWidth="1"/>
    <col min="17" max="17" width="14.59765625" customWidth="1"/>
    <col min="20" max="20" width="10.59765625" customWidth="1"/>
  </cols>
  <sheetData>
    <row r="1" spans="2:20" s="4" customFormat="1" ht="48" customHeight="1" x14ac:dyDescent="0.45">
      <c r="B1" s="5" t="s">
        <v>1003</v>
      </c>
    </row>
    <row r="2" spans="2:20" x14ac:dyDescent="0.45">
      <c r="R2" s="1"/>
    </row>
    <row r="3" spans="2:20" x14ac:dyDescent="0.4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4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4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4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4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4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4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4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4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4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4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4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4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4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4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4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4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4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4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4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4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4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4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4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4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4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4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4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4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4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4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4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4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4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4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4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4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4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4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4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4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4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4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4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4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4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4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4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4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4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4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4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4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4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4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4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4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4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4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4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4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4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4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4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4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4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4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4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4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4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4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4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4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4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4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4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4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4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4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4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4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4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4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4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4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4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4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4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4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4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4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4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4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4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4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4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4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4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4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4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4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4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4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4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4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4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4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4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4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4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4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4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4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4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4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4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4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4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4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4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4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4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4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4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4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4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4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4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4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4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4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4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4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4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4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4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4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4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4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4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4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4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4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4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4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4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4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4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4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4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4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4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4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4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4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4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4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4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4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4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4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4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4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4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4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4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4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4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4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4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4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4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4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4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4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4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4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4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4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4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4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4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4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4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4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4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4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4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4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4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4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4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4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4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4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4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4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4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4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4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4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4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4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4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4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4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4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4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4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4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4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4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4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4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4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4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4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4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4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4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4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4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4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4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4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4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4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4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4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4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4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4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4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4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4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4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4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4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4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4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4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4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4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4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4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4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4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4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4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4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4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4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4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4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4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4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4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4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4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4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4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4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4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4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4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4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4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4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4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4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4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4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4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4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4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4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4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4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4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4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4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4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4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4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4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4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4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4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4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4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4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4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4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4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4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4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4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4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4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4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4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4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4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4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4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4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4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4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4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4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4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4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4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4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4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4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4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4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4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4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4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4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4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4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4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4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4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4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4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4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4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4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4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4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4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4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4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4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4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4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4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4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4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4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4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4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4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4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4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4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4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4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4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4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4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4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4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4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4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4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4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4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4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4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4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4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4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4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4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4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4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4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4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4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4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4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4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4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4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4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4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4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4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4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4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4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4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4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4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4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4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4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4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4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4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4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4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4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4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4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4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4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4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4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4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4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4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4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4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4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4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4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4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4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4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4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4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4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4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4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4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4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4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4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4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4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4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4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4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4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4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4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4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4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4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4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4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4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4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4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4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4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4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4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4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4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4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4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4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4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4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4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4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4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4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4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4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4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4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4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4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4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4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4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4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4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4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4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4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4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4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4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4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4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4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4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4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4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4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4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4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4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4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4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4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4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4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4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4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4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4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4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4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4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4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4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4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4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4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4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4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4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4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4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4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4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4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4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4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4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4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4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4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4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4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4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4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4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4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4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4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4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4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4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4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4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4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4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4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4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4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4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4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4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4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4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4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4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4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4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4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4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4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4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4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4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4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4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4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4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4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4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4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4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4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4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4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4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4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4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4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4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4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4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4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4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4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4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4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4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4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4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4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4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4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4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4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4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4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4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4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4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4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4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4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4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4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4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4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4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4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4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4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4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4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4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4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4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4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4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4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4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4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4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4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4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4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4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4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4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4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4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4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4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4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4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4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4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4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4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4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4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4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4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4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4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4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4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4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4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4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4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4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4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4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4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4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4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4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4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4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4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4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4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4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4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4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4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4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4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4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4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4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4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4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4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4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4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4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4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4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4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4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4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4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4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4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4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4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4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4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4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4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4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4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4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4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4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4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4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4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4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4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4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4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4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4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4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4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4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4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4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4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4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4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4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4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4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4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4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4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4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4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4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4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4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4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4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4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4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4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4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4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4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4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4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4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4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4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4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4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4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4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4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4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4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4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4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4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4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4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4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4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4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4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4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4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4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4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4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4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4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4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4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4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4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4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4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4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4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4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4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4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4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4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4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4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4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4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4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4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4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4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4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4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4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4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4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4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4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4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4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4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4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4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4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4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4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4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4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4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4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4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4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4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4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4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4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4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4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4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4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4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4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4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4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4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4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4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4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4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4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4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4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4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4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4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4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4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4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4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4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4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4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4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4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4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4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4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4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4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4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4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4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4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4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4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4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4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4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4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4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4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4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4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4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4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4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4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4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4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4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4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4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4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4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4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4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4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4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4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4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4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4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4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4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4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4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4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4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4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4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4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4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4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4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4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4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4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4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4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4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4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4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4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4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4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4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4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4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4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4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4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4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4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4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4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4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4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4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4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4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4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4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4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4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4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4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4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4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4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4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4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4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4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4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4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4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4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4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4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4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4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4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4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4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4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4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4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4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4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4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4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4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4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4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4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4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4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4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4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4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4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4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4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4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4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4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4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4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4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4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4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4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4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4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4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4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4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4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4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4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4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4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4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4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4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4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4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4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4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4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4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4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4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4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4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4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4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4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4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4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4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4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4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4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4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4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4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4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4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4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4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4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4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4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4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4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4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4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4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4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4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4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4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4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4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4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4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4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4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48520-FD4F-4F47-ADD4-67D27FD64DFF}">
  <dimension ref="E2:F7"/>
  <sheetViews>
    <sheetView zoomScale="115" zoomScaleNormal="115" workbookViewId="0">
      <selection activeCell="H10" sqref="H10"/>
    </sheetView>
  </sheetViews>
  <sheetFormatPr defaultRowHeight="14.25" x14ac:dyDescent="0.45"/>
  <cols>
    <col min="5" max="5" width="10.86328125" customWidth="1"/>
    <col min="6" max="6" width="9.86328125" customWidth="1"/>
  </cols>
  <sheetData>
    <row r="2" spans="5:6" x14ac:dyDescent="0.45">
      <c r="E2" t="s">
        <v>1040</v>
      </c>
      <c r="F2" t="s">
        <v>1041</v>
      </c>
    </row>
    <row r="3" spans="5:6" ht="25.5" customHeight="1" x14ac:dyDescent="0.45">
      <c r="E3" t="s">
        <v>11</v>
      </c>
      <c r="F3" t="e" vm="1">
        <v>#VALUE!</v>
      </c>
    </row>
    <row r="4" spans="5:6" ht="25.5" customHeight="1" x14ac:dyDescent="0.45">
      <c r="E4" t="s">
        <v>9</v>
      </c>
      <c r="F4" t="e" vm="2">
        <v>#VALUE!</v>
      </c>
    </row>
    <row r="5" spans="5:6" ht="25.5" customHeight="1" x14ac:dyDescent="0.55000000000000004">
      <c r="E5" t="s">
        <v>6</v>
      </c>
      <c r="F5" s="50" t="e" vm="3">
        <v>#VALUE!</v>
      </c>
    </row>
    <row r="6" spans="5:6" ht="25.5" customHeight="1" x14ac:dyDescent="0.45">
      <c r="E6" t="s">
        <v>13</v>
      </c>
      <c r="F6" t="e" vm="4">
        <v>#VALUE!</v>
      </c>
    </row>
    <row r="7" spans="5:6" ht="25.5" customHeight="1" x14ac:dyDescent="0.45">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F95F-3A58-4172-B5D2-6C56E8AAE4B1}">
  <dimension ref="A3:Z110"/>
  <sheetViews>
    <sheetView topLeftCell="A43" zoomScaleNormal="100" workbookViewId="0">
      <selection activeCell="J66" sqref="J66"/>
    </sheetView>
  </sheetViews>
  <sheetFormatPr defaultRowHeight="14.25" x14ac:dyDescent="0.45"/>
  <cols>
    <col min="1" max="1" width="13" bestFit="1" customWidth="1"/>
    <col min="2" max="2" width="12.59765625" bestFit="1" customWidth="1"/>
    <col min="3" max="3" width="13.46484375" bestFit="1" customWidth="1"/>
    <col min="4" max="4" width="13.86328125" bestFit="1" customWidth="1"/>
    <col min="5" max="5" width="7.59765625" bestFit="1" customWidth="1"/>
    <col min="6" max="6" width="6.265625" bestFit="1" customWidth="1"/>
    <col min="7" max="7" width="11.6640625" customWidth="1"/>
    <col min="8" max="8" width="10.3984375" customWidth="1"/>
    <col min="9" max="9" width="13.06640625" bestFit="1" customWidth="1"/>
    <col min="10" max="10" width="13.46484375" customWidth="1"/>
    <col min="11" max="11" width="10.46484375" bestFit="1" customWidth="1"/>
    <col min="12" max="12" width="9.1328125" customWidth="1"/>
    <col min="13" max="13" width="13.59765625" customWidth="1"/>
    <col min="14" max="17" width="6.265625" bestFit="1" customWidth="1"/>
    <col min="18" max="18" width="11.06640625" bestFit="1" customWidth="1"/>
  </cols>
  <sheetData>
    <row r="3" spans="1:15" x14ac:dyDescent="0.45">
      <c r="A3" t="s">
        <v>1043</v>
      </c>
      <c r="B3" t="s">
        <v>1044</v>
      </c>
      <c r="C3" t="s">
        <v>1045</v>
      </c>
      <c r="D3" t="s">
        <v>1046</v>
      </c>
      <c r="E3" t="s">
        <v>1047</v>
      </c>
    </row>
    <row r="4" spans="1:15" x14ac:dyDescent="0.45">
      <c r="A4" s="21">
        <v>1000</v>
      </c>
      <c r="B4" s="22">
        <v>96623</v>
      </c>
      <c r="C4" s="21">
        <v>89850</v>
      </c>
      <c r="D4" s="23">
        <v>3.8854000000000033</v>
      </c>
      <c r="E4" s="21">
        <v>307</v>
      </c>
    </row>
    <row r="8" spans="1:15" x14ac:dyDescent="0.45">
      <c r="A8" t="s">
        <v>1043</v>
      </c>
      <c r="B8" t="s">
        <v>1044</v>
      </c>
      <c r="C8" t="s">
        <v>1045</v>
      </c>
      <c r="D8" t="s">
        <v>1046</v>
      </c>
      <c r="E8" t="s">
        <v>1047</v>
      </c>
    </row>
    <row r="9" spans="1:15" x14ac:dyDescent="0.45">
      <c r="A9" s="21">
        <v>189</v>
      </c>
      <c r="B9" s="22">
        <v>18415</v>
      </c>
      <c r="C9" s="21">
        <v>16834</v>
      </c>
      <c r="D9" s="23">
        <v>3.9227513227513247</v>
      </c>
      <c r="E9" s="21">
        <v>60</v>
      </c>
    </row>
    <row r="13" spans="1:15" x14ac:dyDescent="0.45">
      <c r="A13" s="24" t="s">
        <v>1048</v>
      </c>
      <c r="B13" t="s">
        <v>1043</v>
      </c>
      <c r="C13" t="s">
        <v>1062</v>
      </c>
      <c r="G13" s="24" t="s">
        <v>1048</v>
      </c>
      <c r="H13" t="s">
        <v>1043</v>
      </c>
      <c r="I13" s="27"/>
      <c r="K13" t="s">
        <v>1093</v>
      </c>
      <c r="L13" t="s">
        <v>1094</v>
      </c>
      <c r="M13" t="s">
        <v>1092</v>
      </c>
    </row>
    <row r="14" spans="1:15" x14ac:dyDescent="0.45">
      <c r="A14" s="25" t="s">
        <v>1050</v>
      </c>
      <c r="B14" s="21">
        <v>16</v>
      </c>
      <c r="C14" s="21">
        <v>16</v>
      </c>
      <c r="G14" s="25" t="s">
        <v>1066</v>
      </c>
      <c r="H14" s="21">
        <v>36</v>
      </c>
      <c r="I14" s="27"/>
      <c r="K14" t="str" cm="1">
        <f t="array" ref="K14:L20">G14:H14:H20</f>
        <v>Sunday</v>
      </c>
      <c r="L14">
        <v>36</v>
      </c>
      <c r="M14" t="str" cm="1">
        <f t="array" ref="M14:M20">IF($H$14:H20=MAX($H$14:H20),$H$14:$H$20," ")</f>
        <v xml:space="preserve"> </v>
      </c>
      <c r="O14" t="s">
        <v>1095</v>
      </c>
    </row>
    <row r="15" spans="1:15" x14ac:dyDescent="0.45">
      <c r="A15" s="25" t="s">
        <v>1051</v>
      </c>
      <c r="B15" s="21">
        <v>14</v>
      </c>
      <c r="C15" s="21">
        <v>14</v>
      </c>
      <c r="G15" s="25" t="s">
        <v>1064</v>
      </c>
      <c r="H15" s="21">
        <v>30</v>
      </c>
      <c r="I15" s="27"/>
      <c r="K15" t="str">
        <v>Monday</v>
      </c>
      <c r="L15">
        <v>30</v>
      </c>
      <c r="M15" t="str">
        <v xml:space="preserve"> </v>
      </c>
    </row>
    <row r="16" spans="1:15" x14ac:dyDescent="0.45">
      <c r="A16" s="25" t="s">
        <v>1052</v>
      </c>
      <c r="B16" s="21">
        <v>26</v>
      </c>
      <c r="C16" s="21">
        <v>26</v>
      </c>
      <c r="G16" s="25" t="s">
        <v>1068</v>
      </c>
      <c r="H16" s="21">
        <v>13</v>
      </c>
      <c r="I16" s="27"/>
      <c r="K16" t="str">
        <v>Tuesday</v>
      </c>
      <c r="L16">
        <v>13</v>
      </c>
      <c r="M16" t="str">
        <v xml:space="preserve"> </v>
      </c>
    </row>
    <row r="17" spans="1:19" x14ac:dyDescent="0.45">
      <c r="A17" s="25" t="s">
        <v>1053</v>
      </c>
      <c r="B17" s="21">
        <v>29</v>
      </c>
      <c r="C17" s="21">
        <v>29</v>
      </c>
      <c r="G17" s="25" t="s">
        <v>1069</v>
      </c>
      <c r="H17" s="21">
        <v>23</v>
      </c>
      <c r="I17" s="27"/>
      <c r="K17" t="str">
        <v>Wednesday</v>
      </c>
      <c r="L17">
        <v>23</v>
      </c>
      <c r="M17" t="str">
        <v xml:space="preserve"> </v>
      </c>
    </row>
    <row r="18" spans="1:19" x14ac:dyDescent="0.45">
      <c r="A18" s="25" t="s">
        <v>1054</v>
      </c>
      <c r="B18" s="21">
        <v>17</v>
      </c>
      <c r="C18" s="21">
        <v>17</v>
      </c>
      <c r="G18" s="25" t="s">
        <v>1067</v>
      </c>
      <c r="H18" s="21">
        <v>23</v>
      </c>
      <c r="I18" s="27"/>
      <c r="K18" t="str">
        <v>Thursday</v>
      </c>
      <c r="L18">
        <v>23</v>
      </c>
      <c r="M18" t="str">
        <v xml:space="preserve"> </v>
      </c>
    </row>
    <row r="19" spans="1:19" x14ac:dyDescent="0.45">
      <c r="A19" s="25" t="s">
        <v>1055</v>
      </c>
      <c r="B19" s="21">
        <v>15</v>
      </c>
      <c r="C19" s="21">
        <v>15</v>
      </c>
      <c r="G19" s="25" t="s">
        <v>1063</v>
      </c>
      <c r="H19" s="21">
        <v>24</v>
      </c>
      <c r="I19" s="27"/>
      <c r="K19" t="str">
        <v>Friday</v>
      </c>
      <c r="L19">
        <v>24</v>
      </c>
      <c r="M19" t="str">
        <v xml:space="preserve"> </v>
      </c>
    </row>
    <row r="20" spans="1:19" x14ac:dyDescent="0.45">
      <c r="A20" s="25" t="s">
        <v>1056</v>
      </c>
      <c r="B20" s="21">
        <v>15</v>
      </c>
      <c r="C20" s="21">
        <v>15</v>
      </c>
      <c r="G20" s="25" t="s">
        <v>1065</v>
      </c>
      <c r="H20" s="21">
        <v>40</v>
      </c>
      <c r="I20" s="27"/>
      <c r="K20" t="str">
        <v>Saturday</v>
      </c>
      <c r="L20">
        <v>40</v>
      </c>
      <c r="M20">
        <v>40</v>
      </c>
    </row>
    <row r="21" spans="1:19" x14ac:dyDescent="0.45">
      <c r="A21" s="25" t="s">
        <v>1057</v>
      </c>
      <c r="B21" s="21">
        <v>7</v>
      </c>
      <c r="C21" s="21">
        <v>7</v>
      </c>
      <c r="G21" s="25" t="s">
        <v>1049</v>
      </c>
      <c r="H21" s="21">
        <v>189</v>
      </c>
      <c r="S21" t="s">
        <v>1096</v>
      </c>
    </row>
    <row r="22" spans="1:19" x14ac:dyDescent="0.45">
      <c r="A22" s="25" t="s">
        <v>1058</v>
      </c>
      <c r="B22" s="21">
        <v>11</v>
      </c>
      <c r="C22" s="21">
        <v>11</v>
      </c>
    </row>
    <row r="23" spans="1:19" x14ac:dyDescent="0.45">
      <c r="A23" s="25" t="s">
        <v>1059</v>
      </c>
      <c r="B23" s="21">
        <v>24</v>
      </c>
      <c r="C23" s="21">
        <v>24</v>
      </c>
    </row>
    <row r="24" spans="1:19" x14ac:dyDescent="0.45">
      <c r="A24" s="25" t="s">
        <v>1060</v>
      </c>
      <c r="B24" s="21">
        <v>9</v>
      </c>
      <c r="C24" s="21">
        <v>9</v>
      </c>
    </row>
    <row r="25" spans="1:19" x14ac:dyDescent="0.45">
      <c r="A25" s="25" t="s">
        <v>1061</v>
      </c>
      <c r="B25" s="21">
        <v>6</v>
      </c>
      <c r="C25" s="21">
        <v>6</v>
      </c>
    </row>
    <row r="26" spans="1:19" x14ac:dyDescent="0.45">
      <c r="A26" s="25" t="s">
        <v>1049</v>
      </c>
      <c r="B26" s="21">
        <v>189</v>
      </c>
      <c r="C26" s="21">
        <v>189</v>
      </c>
    </row>
    <row r="30" spans="1:19" x14ac:dyDescent="0.45">
      <c r="B30" t="s">
        <v>1042</v>
      </c>
    </row>
    <row r="36" spans="1:15" x14ac:dyDescent="0.45">
      <c r="E36" t="s">
        <v>1070</v>
      </c>
      <c r="G36" t="s">
        <v>1075</v>
      </c>
      <c r="H36" s="43" t="str">
        <f>A51</f>
        <v>R01</v>
      </c>
    </row>
    <row r="38" spans="1:15" x14ac:dyDescent="0.45">
      <c r="A38" s="24" t="s">
        <v>1048</v>
      </c>
      <c r="B38" t="s">
        <v>1043</v>
      </c>
      <c r="C38" t="s">
        <v>1044</v>
      </c>
      <c r="E38" t="s">
        <v>1072</v>
      </c>
      <c r="F38" t="s">
        <v>1073</v>
      </c>
      <c r="G38" t="s">
        <v>1074</v>
      </c>
      <c r="H38" s="27" t="s">
        <v>1076</v>
      </c>
      <c r="I38" s="27" t="s">
        <v>1077</v>
      </c>
    </row>
    <row r="39" spans="1:15" x14ac:dyDescent="0.45">
      <c r="A39" s="25" t="s">
        <v>11</v>
      </c>
      <c r="B39" s="21">
        <v>189</v>
      </c>
      <c r="C39" s="22">
        <v>18415</v>
      </c>
      <c r="E39" t="str" cm="1">
        <f t="array" ref="E39:G43">A39:C43</f>
        <v>R01</v>
      </c>
      <c r="F39">
        <v>189</v>
      </c>
      <c r="G39" s="26">
        <v>18415</v>
      </c>
      <c r="H39" s="27">
        <f>IF(E39=$H$36,F39,NA())</f>
        <v>189</v>
      </c>
      <c r="I39" s="35">
        <f>IF(E39=$H$36,G39,NA())</f>
        <v>18415</v>
      </c>
    </row>
    <row r="40" spans="1:15" x14ac:dyDescent="0.45">
      <c r="A40" s="25" t="s">
        <v>9</v>
      </c>
      <c r="B40" s="21">
        <v>218</v>
      </c>
      <c r="C40" s="22">
        <v>20581</v>
      </c>
      <c r="E40" t="str">
        <v>R02</v>
      </c>
      <c r="F40">
        <v>218</v>
      </c>
      <c r="G40" s="26">
        <v>20581</v>
      </c>
      <c r="H40" s="27" t="e">
        <f>IF(E40=$H$36,F40,NA())</f>
        <v>#N/A</v>
      </c>
      <c r="I40" s="35" t="e">
        <f>IF(E40=$H$36,G40,NA())</f>
        <v>#N/A</v>
      </c>
    </row>
    <row r="41" spans="1:15" x14ac:dyDescent="0.45">
      <c r="A41" s="25" t="s">
        <v>6</v>
      </c>
      <c r="B41" s="21">
        <v>207</v>
      </c>
      <c r="C41" s="22">
        <v>20872</v>
      </c>
      <c r="E41" t="str">
        <v>R03</v>
      </c>
      <c r="F41">
        <v>207</v>
      </c>
      <c r="G41" s="26">
        <v>20872</v>
      </c>
      <c r="H41" s="27" t="e">
        <f>IF(E41=$H$36,F41,NA())</f>
        <v>#N/A</v>
      </c>
      <c r="I41" s="35" t="e">
        <f>IF(E41=$H$36,G41,NA())</f>
        <v>#N/A</v>
      </c>
      <c r="O41" t="s">
        <v>1071</v>
      </c>
    </row>
    <row r="42" spans="1:15" x14ac:dyDescent="0.45">
      <c r="A42" s="25" t="s">
        <v>13</v>
      </c>
      <c r="B42" s="21">
        <v>186</v>
      </c>
      <c r="C42" s="22">
        <v>16651</v>
      </c>
      <c r="E42" t="str">
        <v>R04</v>
      </c>
      <c r="F42">
        <v>186</v>
      </c>
      <c r="G42" s="26">
        <v>16651</v>
      </c>
      <c r="H42" s="27" t="e">
        <f>IF(E42=$H$36,F42,NA())</f>
        <v>#N/A</v>
      </c>
      <c r="I42" s="35" t="e">
        <f>IF(E42=$H$36,G42,NA())</f>
        <v>#N/A</v>
      </c>
    </row>
    <row r="43" spans="1:15" x14ac:dyDescent="0.45">
      <c r="A43" s="25" t="s">
        <v>10</v>
      </c>
      <c r="B43" s="21">
        <v>200</v>
      </c>
      <c r="C43" s="22">
        <v>20104</v>
      </c>
      <c r="E43" t="str">
        <v>R05</v>
      </c>
      <c r="F43">
        <v>200</v>
      </c>
      <c r="G43" s="26">
        <v>20104</v>
      </c>
      <c r="H43" s="27" t="e">
        <f>IF(E43=$H$36,F43,NA())</f>
        <v>#N/A</v>
      </c>
      <c r="I43" s="35" t="e">
        <f>IF(E43=$H$36,G43,NA())</f>
        <v>#N/A</v>
      </c>
    </row>
    <row r="44" spans="1:15" x14ac:dyDescent="0.45">
      <c r="A44" s="25" t="s">
        <v>1049</v>
      </c>
      <c r="B44" s="21">
        <v>1000</v>
      </c>
      <c r="C44" s="22">
        <v>96623</v>
      </c>
    </row>
    <row r="50" spans="1:12" ht="15.75" x14ac:dyDescent="0.5">
      <c r="A50" s="24" t="s">
        <v>1048</v>
      </c>
      <c r="I50" s="39" t="s">
        <v>1083</v>
      </c>
    </row>
    <row r="51" spans="1:12" x14ac:dyDescent="0.45">
      <c r="A51" s="28" t="s">
        <v>11</v>
      </c>
    </row>
    <row r="52" spans="1:12" x14ac:dyDescent="0.45">
      <c r="I52" t="s">
        <v>1085</v>
      </c>
      <c r="J52" s="36">
        <f>A9 / A4</f>
        <v>0.189</v>
      </c>
    </row>
    <row r="53" spans="1:12" x14ac:dyDescent="0.45">
      <c r="I53" t="s">
        <v>1084</v>
      </c>
      <c r="J53" s="21">
        <f>A9</f>
        <v>189</v>
      </c>
    </row>
    <row r="54" spans="1:12" x14ac:dyDescent="0.45">
      <c r="I54" t="s">
        <v>1086</v>
      </c>
      <c r="J54" s="37">
        <f>B9</f>
        <v>18415</v>
      </c>
    </row>
    <row r="56" spans="1:12" x14ac:dyDescent="0.45">
      <c r="I56" t="s">
        <v>1087</v>
      </c>
      <c r="J56">
        <f>_xlfn.RANK.AVG(J53,F39:F43)</f>
        <v>4</v>
      </c>
    </row>
    <row r="57" spans="1:12" x14ac:dyDescent="0.45">
      <c r="I57" t="s">
        <v>1088</v>
      </c>
      <c r="J57">
        <f>_xlfn.RANK.AVG(J54,G39:G43)</f>
        <v>4</v>
      </c>
    </row>
    <row r="59" spans="1:12" x14ac:dyDescent="0.45">
      <c r="I59" s="14" t="s">
        <v>1089</v>
      </c>
    </row>
    <row r="60" spans="1:12" x14ac:dyDescent="0.45">
      <c r="I60" s="1"/>
      <c r="J60" t="str">
        <f>"%ofcalls:"&amp;" "&amp; TEXT(J52, "0%")</f>
        <v>%ofcalls: 19%</v>
      </c>
    </row>
    <row r="61" spans="1:12" x14ac:dyDescent="0.45">
      <c r="A61" s="24" t="s">
        <v>1080</v>
      </c>
      <c r="B61" s="24" t="s">
        <v>1078</v>
      </c>
      <c r="J61" t="str">
        <f>IF(COUNTA(A51:A55)&gt;1,"","Call rank:"&amp;" "&amp;J56)</f>
        <v>Call rank: 4</v>
      </c>
    </row>
    <row r="62" spans="1:12" x14ac:dyDescent="0.45">
      <c r="A62" s="24" t="s">
        <v>1048</v>
      </c>
      <c r="B62" t="s">
        <v>999</v>
      </c>
      <c r="C62" t="s">
        <v>998</v>
      </c>
      <c r="D62" t="s">
        <v>1049</v>
      </c>
      <c r="J62" t="str">
        <f>IF(COUNTA(A51:A55)&gt;1,"","Amount rank:"&amp;" "&amp;J57)</f>
        <v>Amount rank: 4</v>
      </c>
    </row>
    <row r="63" spans="1:12" x14ac:dyDescent="0.45">
      <c r="A63" s="25" t="s">
        <v>1002</v>
      </c>
      <c r="B63">
        <v>144</v>
      </c>
      <c r="C63">
        <v>132</v>
      </c>
      <c r="D63">
        <v>276</v>
      </c>
    </row>
    <row r="64" spans="1:12" x14ac:dyDescent="0.45">
      <c r="A64" s="25" t="s">
        <v>1001</v>
      </c>
      <c r="B64">
        <v>326</v>
      </c>
      <c r="C64">
        <v>63</v>
      </c>
      <c r="D64">
        <v>389</v>
      </c>
      <c r="I64" s="14" t="s">
        <v>1090</v>
      </c>
      <c r="L64" t="s">
        <v>1097</v>
      </c>
    </row>
    <row r="65" spans="1:10" ht="26.65" x14ac:dyDescent="0.85">
      <c r="A65" s="25" t="s">
        <v>1000</v>
      </c>
      <c r="B65">
        <v>129</v>
      </c>
      <c r="C65">
        <v>206</v>
      </c>
      <c r="D65">
        <v>335</v>
      </c>
      <c r="J65" s="38" t="e" vm="6">
        <f>IF(COUNTA(A51:A55)&gt;1,"",_xlfn.XLOOKUP(A51,Assets!E3:E7,Assets!F3:F7,"",0))</f>
        <v>#VALUE!</v>
      </c>
    </row>
    <row r="66" spans="1:10" x14ac:dyDescent="0.45">
      <c r="A66" s="25" t="s">
        <v>1049</v>
      </c>
      <c r="B66">
        <v>599</v>
      </c>
      <c r="C66">
        <v>401</v>
      </c>
      <c r="D66">
        <v>1000</v>
      </c>
    </row>
    <row r="69" spans="1:10" x14ac:dyDescent="0.45">
      <c r="A69" s="29" t="s">
        <v>1081</v>
      </c>
    </row>
    <row r="71" spans="1:10" x14ac:dyDescent="0.45">
      <c r="A71" s="24" t="s">
        <v>1048</v>
      </c>
      <c r="B71" t="s">
        <v>1079</v>
      </c>
      <c r="E71" s="32" t="s">
        <v>1082</v>
      </c>
    </row>
    <row r="72" spans="1:10" x14ac:dyDescent="0.45">
      <c r="A72" s="25">
        <v>1</v>
      </c>
      <c r="B72" s="42">
        <v>1</v>
      </c>
      <c r="E72" s="31">
        <v>0</v>
      </c>
      <c r="F72" cm="1">
        <f t="array" ref="F72:F77">_xlfn.XLOOKUP($E$72:$E$77,$A$72:$A$77,$B$72:$B$77,0,0)</f>
        <v>0</v>
      </c>
    </row>
    <row r="73" spans="1:10" x14ac:dyDescent="0.45">
      <c r="A73" s="25">
        <v>2</v>
      </c>
      <c r="B73" s="42">
        <v>9</v>
      </c>
      <c r="E73" s="31">
        <v>1</v>
      </c>
      <c r="F73">
        <v>1</v>
      </c>
    </row>
    <row r="74" spans="1:10" x14ac:dyDescent="0.45">
      <c r="A74" s="25">
        <v>3</v>
      </c>
      <c r="B74" s="42">
        <v>31</v>
      </c>
      <c r="E74" s="31">
        <v>2</v>
      </c>
      <c r="F74">
        <v>9</v>
      </c>
    </row>
    <row r="75" spans="1:10" x14ac:dyDescent="0.45">
      <c r="A75" s="25">
        <v>4</v>
      </c>
      <c r="B75" s="42">
        <v>88</v>
      </c>
      <c r="E75" s="31">
        <v>3</v>
      </c>
      <c r="F75">
        <v>31</v>
      </c>
    </row>
    <row r="76" spans="1:10" x14ac:dyDescent="0.45">
      <c r="A76" s="25">
        <v>5</v>
      </c>
      <c r="B76" s="42">
        <v>60</v>
      </c>
      <c r="E76" s="31">
        <v>4</v>
      </c>
      <c r="F76">
        <v>88</v>
      </c>
    </row>
    <row r="77" spans="1:10" x14ac:dyDescent="0.45">
      <c r="A77" s="25" t="s">
        <v>1049</v>
      </c>
      <c r="B77" s="42">
        <v>189</v>
      </c>
      <c r="E77" s="31">
        <v>5</v>
      </c>
      <c r="F77">
        <v>60</v>
      </c>
    </row>
    <row r="82" spans="1:26" x14ac:dyDescent="0.45">
      <c r="T82" s="33"/>
      <c r="U82" s="34"/>
      <c r="V82" s="34"/>
      <c r="W82" s="34"/>
      <c r="X82" s="34"/>
      <c r="Y82" s="34"/>
      <c r="Z82" s="34"/>
    </row>
    <row r="83" spans="1:26" x14ac:dyDescent="0.45">
      <c r="A83" s="24" t="s">
        <v>1044</v>
      </c>
      <c r="B83" s="24" t="s">
        <v>1078</v>
      </c>
      <c r="T83" s="30"/>
      <c r="U83" s="22"/>
      <c r="V83" s="22"/>
      <c r="W83" s="22"/>
      <c r="X83" s="22"/>
      <c r="Y83" s="22"/>
      <c r="Z83" s="22"/>
    </row>
    <row r="84" spans="1:26" x14ac:dyDescent="0.45">
      <c r="A84" s="24" t="s">
        <v>1048</v>
      </c>
      <c r="B84" t="s">
        <v>11</v>
      </c>
      <c r="C84" t="s">
        <v>9</v>
      </c>
      <c r="D84" t="s">
        <v>6</v>
      </c>
      <c r="E84" t="s">
        <v>13</v>
      </c>
      <c r="F84" t="s">
        <v>10</v>
      </c>
      <c r="G84" t="s">
        <v>1049</v>
      </c>
      <c r="T84" s="30"/>
      <c r="U84" s="22"/>
      <c r="V84" s="22"/>
      <c r="W84" s="22"/>
      <c r="X84" s="22"/>
      <c r="Y84" s="22"/>
      <c r="Z84" s="22"/>
    </row>
    <row r="85" spans="1:26" x14ac:dyDescent="0.45">
      <c r="A85" s="25" t="s">
        <v>1002</v>
      </c>
      <c r="T85" s="30"/>
      <c r="U85" s="22"/>
      <c r="V85" s="22"/>
      <c r="W85" s="22"/>
      <c r="X85" s="22"/>
      <c r="Y85" s="22"/>
      <c r="Z85" s="22"/>
    </row>
    <row r="86" spans="1:26" x14ac:dyDescent="0.45">
      <c r="A86" s="30" t="s">
        <v>20</v>
      </c>
      <c r="B86" s="22">
        <v>891</v>
      </c>
      <c r="C86" s="22">
        <v>1332</v>
      </c>
      <c r="D86" s="22">
        <v>1282</v>
      </c>
      <c r="E86" s="22">
        <v>739</v>
      </c>
      <c r="F86" s="22">
        <v>560</v>
      </c>
      <c r="G86" s="22">
        <v>4804</v>
      </c>
      <c r="T86" s="30"/>
      <c r="U86" s="22"/>
      <c r="V86" s="22"/>
      <c r="W86" s="22"/>
      <c r="X86" s="22"/>
      <c r="Y86" s="22"/>
      <c r="Z86" s="22"/>
    </row>
    <row r="87" spans="1:26" x14ac:dyDescent="0.45">
      <c r="A87" s="30" t="s">
        <v>12</v>
      </c>
      <c r="B87" s="22">
        <v>1991</v>
      </c>
      <c r="C87" s="22">
        <v>1886</v>
      </c>
      <c r="D87" s="22">
        <v>1206</v>
      </c>
      <c r="E87" s="22">
        <v>884</v>
      </c>
      <c r="F87" s="22">
        <v>1722</v>
      </c>
      <c r="G87" s="22">
        <v>7689</v>
      </c>
      <c r="T87" s="33"/>
      <c r="U87" s="34"/>
      <c r="V87" s="34"/>
      <c r="W87" s="34"/>
      <c r="X87" s="34"/>
      <c r="Y87" s="34"/>
      <c r="Z87" s="34"/>
    </row>
    <row r="88" spans="1:26" x14ac:dyDescent="0.45">
      <c r="A88" s="30" t="s">
        <v>8</v>
      </c>
      <c r="B88" s="22">
        <v>1163</v>
      </c>
      <c r="C88" s="22">
        <v>1180</v>
      </c>
      <c r="D88" s="22">
        <v>1616</v>
      </c>
      <c r="E88" s="22">
        <v>1043</v>
      </c>
      <c r="F88" s="22">
        <v>1747</v>
      </c>
      <c r="G88" s="22">
        <v>6749</v>
      </c>
      <c r="T88" s="30"/>
      <c r="U88" s="22"/>
      <c r="V88" s="22"/>
      <c r="W88" s="22"/>
      <c r="X88" s="22"/>
      <c r="Y88" s="22"/>
      <c r="Z88" s="22"/>
    </row>
    <row r="89" spans="1:26" x14ac:dyDescent="0.45">
      <c r="A89" s="30" t="s">
        <v>16</v>
      </c>
      <c r="B89" s="22">
        <v>1438</v>
      </c>
      <c r="C89" s="22">
        <v>1616</v>
      </c>
      <c r="D89" s="22">
        <v>866</v>
      </c>
      <c r="E89" s="22">
        <v>829</v>
      </c>
      <c r="F89" s="22">
        <v>2070</v>
      </c>
      <c r="G89" s="22">
        <v>6819</v>
      </c>
      <c r="T89" s="30"/>
      <c r="U89" s="22"/>
      <c r="V89" s="22"/>
      <c r="W89" s="22"/>
      <c r="X89" s="22"/>
      <c r="Y89" s="22"/>
      <c r="Z89" s="22"/>
    </row>
    <row r="90" spans="1:26" x14ac:dyDescent="0.45">
      <c r="A90" s="25" t="s">
        <v>1001</v>
      </c>
      <c r="T90" s="30"/>
      <c r="U90" s="22"/>
      <c r="V90" s="22"/>
      <c r="W90" s="22"/>
      <c r="X90" s="22"/>
      <c r="Y90" s="22"/>
      <c r="Z90" s="22"/>
    </row>
    <row r="91" spans="1:26" x14ac:dyDescent="0.45">
      <c r="A91" s="30" t="s">
        <v>24</v>
      </c>
      <c r="B91" s="22">
        <v>1233</v>
      </c>
      <c r="C91" s="22">
        <v>223</v>
      </c>
      <c r="D91" s="22">
        <v>1680</v>
      </c>
      <c r="E91" s="22">
        <v>990</v>
      </c>
      <c r="F91" s="22">
        <v>1508</v>
      </c>
      <c r="G91" s="22">
        <v>5634</v>
      </c>
      <c r="T91" s="30"/>
      <c r="U91" s="22"/>
      <c r="V91" s="22"/>
      <c r="W91" s="22"/>
      <c r="X91" s="22"/>
      <c r="Y91" s="22"/>
      <c r="Z91" s="22"/>
    </row>
    <row r="92" spans="1:26" x14ac:dyDescent="0.45">
      <c r="A92" s="30" t="s">
        <v>15</v>
      </c>
      <c r="B92" s="22">
        <v>1598</v>
      </c>
      <c r="C92" s="22">
        <v>1907</v>
      </c>
      <c r="D92" s="22">
        <v>869</v>
      </c>
      <c r="E92" s="22">
        <v>1426</v>
      </c>
      <c r="F92" s="22">
        <v>1416</v>
      </c>
      <c r="G92" s="22">
        <v>7216</v>
      </c>
      <c r="T92" s="30"/>
      <c r="U92" s="22"/>
      <c r="V92" s="22"/>
      <c r="W92" s="22"/>
      <c r="X92" s="22"/>
      <c r="Y92" s="22"/>
      <c r="Z92" s="22"/>
    </row>
    <row r="93" spans="1:26" x14ac:dyDescent="0.45">
      <c r="A93" s="30" t="s">
        <v>5</v>
      </c>
      <c r="B93" s="22">
        <v>900</v>
      </c>
      <c r="C93" s="22">
        <v>1016</v>
      </c>
      <c r="D93" s="22">
        <v>960</v>
      </c>
      <c r="E93" s="22">
        <v>940</v>
      </c>
      <c r="F93" s="22">
        <v>1193</v>
      </c>
      <c r="G93" s="22">
        <v>5009</v>
      </c>
      <c r="J93" s="33"/>
      <c r="K93" s="34"/>
      <c r="L93" s="34"/>
      <c r="M93" s="34"/>
      <c r="N93" s="34"/>
      <c r="O93" s="34"/>
      <c r="P93" s="34"/>
      <c r="Q93" s="34"/>
      <c r="T93" s="30"/>
      <c r="U93" s="22"/>
      <c r="V93" s="22"/>
      <c r="W93" s="22"/>
      <c r="X93" s="22"/>
      <c r="Y93" s="22"/>
      <c r="Z93" s="22"/>
    </row>
    <row r="94" spans="1:26" x14ac:dyDescent="0.45">
      <c r="A94" s="30" t="s">
        <v>18</v>
      </c>
      <c r="B94" s="22">
        <v>900</v>
      </c>
      <c r="C94" s="22">
        <v>1470</v>
      </c>
      <c r="D94" s="22">
        <v>1617</v>
      </c>
      <c r="E94" s="22">
        <v>1314</v>
      </c>
      <c r="F94" s="22">
        <v>941</v>
      </c>
      <c r="G94" s="22">
        <v>6242</v>
      </c>
      <c r="J94" s="30"/>
      <c r="K94" s="22"/>
      <c r="L94" s="22"/>
      <c r="M94" s="22"/>
      <c r="N94" s="22"/>
      <c r="O94" s="22"/>
      <c r="P94" s="22"/>
      <c r="Q94" s="22"/>
      <c r="T94" s="33"/>
      <c r="U94" s="34"/>
      <c r="V94" s="34"/>
      <c r="W94" s="34"/>
      <c r="X94" s="34"/>
      <c r="Y94" s="34"/>
      <c r="Z94" s="34"/>
    </row>
    <row r="95" spans="1:26" x14ac:dyDescent="0.45">
      <c r="A95" s="30" t="s">
        <v>14</v>
      </c>
      <c r="B95" s="22">
        <v>1255</v>
      </c>
      <c r="C95" s="22">
        <v>516</v>
      </c>
      <c r="D95" s="22">
        <v>1874</v>
      </c>
      <c r="E95" s="22">
        <v>1863</v>
      </c>
      <c r="F95" s="22">
        <v>1722</v>
      </c>
      <c r="G95" s="22">
        <v>7230</v>
      </c>
      <c r="J95" s="30"/>
      <c r="K95" s="22"/>
      <c r="L95" s="22"/>
      <c r="M95" s="22"/>
      <c r="N95" s="22"/>
      <c r="O95" s="22"/>
      <c r="P95" s="22"/>
      <c r="Q95" s="22"/>
      <c r="T95" s="30"/>
      <c r="U95" s="22"/>
      <c r="V95" s="22"/>
      <c r="W95" s="22"/>
      <c r="X95" s="22"/>
      <c r="Y95" s="22"/>
      <c r="Z95" s="22"/>
    </row>
    <row r="96" spans="1:26" x14ac:dyDescent="0.45">
      <c r="A96" s="30" t="s">
        <v>19</v>
      </c>
      <c r="B96" s="22">
        <v>1138</v>
      </c>
      <c r="C96" s="22">
        <v>1898</v>
      </c>
      <c r="D96" s="22">
        <v>1482</v>
      </c>
      <c r="E96" s="22">
        <v>846</v>
      </c>
      <c r="F96" s="22">
        <v>1154</v>
      </c>
      <c r="G96" s="22">
        <v>6518</v>
      </c>
      <c r="J96" s="30"/>
      <c r="K96" s="22"/>
      <c r="L96" s="22"/>
      <c r="M96" s="22"/>
      <c r="N96" s="22"/>
      <c r="O96" s="22"/>
      <c r="P96" s="22"/>
      <c r="Q96" s="22"/>
      <c r="T96" s="30"/>
      <c r="U96" s="22"/>
      <c r="V96" s="22"/>
      <c r="W96" s="22"/>
      <c r="X96" s="22"/>
      <c r="Y96" s="22"/>
      <c r="Z96" s="22"/>
    </row>
    <row r="97" spans="1:26" x14ac:dyDescent="0.45">
      <c r="A97" s="25" t="s">
        <v>1000</v>
      </c>
      <c r="J97" s="30"/>
      <c r="K97" s="22"/>
      <c r="L97" s="22"/>
      <c r="M97" s="22"/>
      <c r="N97" s="22"/>
      <c r="O97" s="22"/>
      <c r="P97" s="22"/>
      <c r="Q97" s="22"/>
      <c r="T97" s="30"/>
      <c r="U97" s="22"/>
      <c r="V97" s="22"/>
      <c r="W97" s="22"/>
      <c r="X97" s="22"/>
      <c r="Y97" s="22"/>
      <c r="Z97" s="22"/>
    </row>
    <row r="98" spans="1:26" x14ac:dyDescent="0.45">
      <c r="A98" s="30" t="s">
        <v>17</v>
      </c>
      <c r="B98" s="22">
        <v>1655</v>
      </c>
      <c r="C98" s="22">
        <v>805</v>
      </c>
      <c r="D98" s="22">
        <v>2263</v>
      </c>
      <c r="E98" s="22">
        <v>987</v>
      </c>
      <c r="F98" s="22">
        <v>1075</v>
      </c>
      <c r="G98" s="22">
        <v>6785</v>
      </c>
      <c r="J98" s="33"/>
      <c r="K98" s="34"/>
      <c r="L98" s="34"/>
      <c r="M98" s="34"/>
      <c r="N98" s="34"/>
      <c r="O98" s="34"/>
      <c r="P98" s="34"/>
      <c r="Q98" s="34"/>
      <c r="T98" s="30"/>
      <c r="U98" s="22"/>
      <c r="V98" s="22"/>
      <c r="W98" s="22"/>
      <c r="X98" s="22"/>
      <c r="Y98" s="22"/>
      <c r="Z98" s="22"/>
    </row>
    <row r="99" spans="1:26" x14ac:dyDescent="0.45">
      <c r="A99" s="30" t="s">
        <v>23</v>
      </c>
      <c r="B99" s="22">
        <v>1104</v>
      </c>
      <c r="C99" s="22">
        <v>2280</v>
      </c>
      <c r="D99" s="22">
        <v>1445</v>
      </c>
      <c r="E99" s="22">
        <v>1722</v>
      </c>
      <c r="F99" s="22">
        <v>1196</v>
      </c>
      <c r="G99" s="22">
        <v>7747</v>
      </c>
      <c r="J99" s="30"/>
      <c r="K99" s="22"/>
      <c r="L99" s="22"/>
      <c r="M99" s="22"/>
      <c r="N99" s="22"/>
      <c r="O99" s="22"/>
      <c r="P99" s="22"/>
      <c r="Q99" s="22"/>
      <c r="T99" s="30"/>
      <c r="U99" s="22"/>
      <c r="V99" s="22"/>
      <c r="W99" s="22"/>
      <c r="X99" s="22"/>
      <c r="Y99" s="22"/>
      <c r="Z99" s="22"/>
    </row>
    <row r="100" spans="1:26" x14ac:dyDescent="0.45">
      <c r="A100" s="30" t="s">
        <v>7</v>
      </c>
      <c r="B100" s="22">
        <v>372</v>
      </c>
      <c r="C100" s="22">
        <v>1818</v>
      </c>
      <c r="D100" s="22">
        <v>1346</v>
      </c>
      <c r="E100" s="22">
        <v>1156</v>
      </c>
      <c r="F100" s="22">
        <v>1484</v>
      </c>
      <c r="G100" s="22">
        <v>6176</v>
      </c>
      <c r="J100" s="30"/>
      <c r="K100" s="22"/>
      <c r="L100" s="22"/>
      <c r="M100" s="22"/>
      <c r="N100" s="22"/>
      <c r="O100" s="22"/>
      <c r="P100" s="22"/>
      <c r="Q100" s="22"/>
    </row>
    <row r="101" spans="1:26" x14ac:dyDescent="0.45">
      <c r="A101" s="30" t="s">
        <v>22</v>
      </c>
      <c r="B101" s="22">
        <v>1415</v>
      </c>
      <c r="C101" s="22">
        <v>1271</v>
      </c>
      <c r="D101" s="22">
        <v>1214</v>
      </c>
      <c r="E101" s="22">
        <v>1135</v>
      </c>
      <c r="F101" s="22">
        <v>1566</v>
      </c>
      <c r="G101" s="22">
        <v>6601</v>
      </c>
      <c r="J101" s="30"/>
      <c r="K101" s="22"/>
      <c r="L101" s="22"/>
      <c r="M101" s="22"/>
      <c r="N101" s="22"/>
      <c r="O101" s="22"/>
      <c r="P101" s="22"/>
      <c r="Q101" s="22"/>
    </row>
    <row r="102" spans="1:26" x14ac:dyDescent="0.45">
      <c r="A102" s="30" t="s">
        <v>21</v>
      </c>
      <c r="B102" s="22">
        <v>1362</v>
      </c>
      <c r="C102" s="22">
        <v>1363</v>
      </c>
      <c r="D102" s="22">
        <v>1152</v>
      </c>
      <c r="E102" s="22">
        <v>777</v>
      </c>
      <c r="F102" s="22">
        <v>750</v>
      </c>
      <c r="G102" s="22">
        <v>5404</v>
      </c>
      <c r="J102" s="30"/>
      <c r="K102" s="22"/>
      <c r="L102" s="22"/>
      <c r="M102" s="22"/>
      <c r="N102" s="22"/>
      <c r="O102" s="22"/>
      <c r="P102" s="22"/>
      <c r="Q102" s="22"/>
    </row>
    <row r="103" spans="1:26" x14ac:dyDescent="0.45">
      <c r="J103" s="30"/>
      <c r="K103" s="22"/>
      <c r="L103" s="22"/>
      <c r="M103" s="22"/>
      <c r="N103" s="22"/>
      <c r="O103" s="22"/>
      <c r="P103" s="22"/>
      <c r="Q103" s="22"/>
    </row>
    <row r="104" spans="1:26" x14ac:dyDescent="0.45">
      <c r="J104" s="30"/>
      <c r="K104" s="22"/>
      <c r="L104" s="22"/>
      <c r="M104" s="22"/>
      <c r="N104" s="22"/>
      <c r="O104" s="22"/>
      <c r="P104" s="22"/>
      <c r="Q104" s="22"/>
    </row>
    <row r="105" spans="1:26" x14ac:dyDescent="0.45">
      <c r="J105" s="33"/>
      <c r="K105" s="34"/>
      <c r="L105" s="34"/>
      <c r="M105" s="34"/>
      <c r="N105" s="34"/>
      <c r="O105" s="34"/>
      <c r="P105" s="34"/>
      <c r="Q105" s="34"/>
    </row>
    <row r="106" spans="1:26" x14ac:dyDescent="0.45">
      <c r="J106" s="30"/>
      <c r="K106" s="22"/>
      <c r="L106" s="22"/>
      <c r="M106" s="22"/>
      <c r="N106" s="22"/>
      <c r="O106" s="22"/>
      <c r="P106" s="22"/>
      <c r="Q106" s="22"/>
    </row>
    <row r="107" spans="1:26" x14ac:dyDescent="0.45">
      <c r="J107" s="30"/>
      <c r="K107" s="22"/>
      <c r="L107" s="22"/>
      <c r="M107" s="22"/>
      <c r="N107" s="22"/>
      <c r="O107" s="22"/>
      <c r="P107" s="22"/>
      <c r="Q107" s="22"/>
    </row>
    <row r="108" spans="1:26" x14ac:dyDescent="0.45">
      <c r="J108" s="30"/>
      <c r="K108" s="22"/>
      <c r="L108" s="22"/>
      <c r="M108" s="22"/>
      <c r="N108" s="22"/>
      <c r="O108" s="22"/>
      <c r="P108" s="22"/>
      <c r="Q108" s="22"/>
    </row>
    <row r="109" spans="1:26" x14ac:dyDescent="0.45">
      <c r="J109" s="30"/>
      <c r="K109" s="22"/>
      <c r="L109" s="22"/>
      <c r="M109" s="22"/>
      <c r="N109" s="22"/>
      <c r="O109" s="22"/>
      <c r="P109" s="22"/>
      <c r="Q109" s="22"/>
    </row>
    <row r="110" spans="1:26" x14ac:dyDescent="0.45">
      <c r="J110" s="30"/>
      <c r="K110" s="22"/>
      <c r="L110" s="22"/>
      <c r="M110" s="22"/>
      <c r="N110" s="22"/>
      <c r="O110" s="22"/>
      <c r="P110" s="22"/>
      <c r="Q110" s="22"/>
    </row>
  </sheetData>
  <conditionalFormatting sqref="G14:G20">
    <cfRule type="expression" dxfId="8" priority="1">
      <formula>"MAX($H$14:$H$20)"</formula>
    </cfRule>
  </conditionalFormatting>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B0EC-6DFB-4D92-942E-34200E0417F2}">
  <sheetPr>
    <tabColor theme="7" tint="-0.499984740745262"/>
  </sheetPr>
  <dimension ref="M15:V33"/>
  <sheetViews>
    <sheetView tabSelected="1" topLeftCell="C1" zoomScale="105" zoomScaleNormal="105" workbookViewId="0">
      <selection activeCell="M14" sqref="M14"/>
    </sheetView>
  </sheetViews>
  <sheetFormatPr defaultRowHeight="14.25" x14ac:dyDescent="0.45"/>
  <cols>
    <col min="1" max="2" width="1.86328125" style="20" customWidth="1"/>
    <col min="3" max="4" width="9.06640625" style="20" customWidth="1"/>
    <col min="5" max="10" width="9.06640625" style="20"/>
    <col min="11" max="11" width="8.33203125" style="20" customWidth="1"/>
    <col min="12" max="12" width="8.9296875" style="20" customWidth="1"/>
    <col min="13" max="13" width="8.3984375" style="20" customWidth="1"/>
    <col min="14" max="14" width="5.06640625" style="20" customWidth="1"/>
    <col min="15" max="15" width="7.796875" style="20" customWidth="1"/>
    <col min="16" max="20" width="9.265625" style="20" bestFit="1" customWidth="1"/>
    <col min="21" max="21" width="8.265625" style="20" customWidth="1"/>
    <col min="22" max="16384" width="9.06640625" style="20"/>
  </cols>
  <sheetData>
    <row r="15" spans="16:22" x14ac:dyDescent="0.45">
      <c r="Q15" s="49" t="str" cm="1">
        <f t="array" ref="Q15:U15">Pivots!B84:F84</f>
        <v>R01</v>
      </c>
      <c r="R15" s="49" t="str">
        <v>R02</v>
      </c>
      <c r="S15" s="49" t="str">
        <v>R03</v>
      </c>
      <c r="T15" s="49" t="str">
        <v>R04</v>
      </c>
      <c r="U15" s="49" t="str">
        <v>R05</v>
      </c>
      <c r="V15" s="49" t="s">
        <v>1091</v>
      </c>
    </row>
    <row r="16" spans="16:22" ht="13.5" customHeight="1" x14ac:dyDescent="0.45">
      <c r="P16" s="44" t="str" cm="1">
        <f t="array" ref="P16:V33">IF(Pivots!A85:G102="", "", Pivots!A85:G102)</f>
        <v>Cincinnati</v>
      </c>
      <c r="Q16" s="45" t="str">
        <v/>
      </c>
      <c r="R16" s="45" t="str">
        <v/>
      </c>
      <c r="S16" s="45" t="str">
        <v/>
      </c>
      <c r="T16" s="45" t="str">
        <v/>
      </c>
      <c r="U16" s="45" t="str">
        <v/>
      </c>
      <c r="V16" s="45" t="str">
        <v/>
      </c>
    </row>
    <row r="17" spans="13:22" ht="13.15" customHeight="1" x14ac:dyDescent="0.45">
      <c r="P17" s="46" t="str">
        <v>C0003</v>
      </c>
      <c r="Q17" s="46">
        <v>891</v>
      </c>
      <c r="R17" s="46">
        <v>1332</v>
      </c>
      <c r="S17" s="47">
        <v>1282</v>
      </c>
      <c r="T17" s="47">
        <v>739</v>
      </c>
      <c r="U17" s="47">
        <v>560</v>
      </c>
      <c r="V17" s="47">
        <v>4804</v>
      </c>
    </row>
    <row r="18" spans="13:22" x14ac:dyDescent="0.45">
      <c r="P18" s="46" t="str">
        <v>C0004</v>
      </c>
      <c r="Q18" s="46">
        <v>1991</v>
      </c>
      <c r="R18" s="46">
        <v>1886</v>
      </c>
      <c r="S18" s="47">
        <v>1206</v>
      </c>
      <c r="T18" s="47">
        <v>884</v>
      </c>
      <c r="U18" s="47">
        <v>1722</v>
      </c>
      <c r="V18" s="47">
        <v>7689</v>
      </c>
    </row>
    <row r="19" spans="13:22" x14ac:dyDescent="0.45">
      <c r="P19" s="48" t="str">
        <v>C0011</v>
      </c>
      <c r="Q19" s="47">
        <v>1163</v>
      </c>
      <c r="R19" s="47">
        <v>1180</v>
      </c>
      <c r="S19" s="47">
        <v>1616</v>
      </c>
      <c r="T19" s="47">
        <v>1043</v>
      </c>
      <c r="U19" s="47">
        <v>1747</v>
      </c>
      <c r="V19" s="47">
        <v>6749</v>
      </c>
    </row>
    <row r="20" spans="13:22" x14ac:dyDescent="0.45">
      <c r="P20" s="48" t="str">
        <v>C0012</v>
      </c>
      <c r="Q20" s="47">
        <v>1438</v>
      </c>
      <c r="R20" s="47">
        <v>1616</v>
      </c>
      <c r="S20" s="47">
        <v>866</v>
      </c>
      <c r="T20" s="47">
        <v>829</v>
      </c>
      <c r="U20" s="47">
        <v>2070</v>
      </c>
      <c r="V20" s="47">
        <v>6819</v>
      </c>
    </row>
    <row r="21" spans="13:22" x14ac:dyDescent="0.45">
      <c r="P21" s="44" t="str">
        <v>Cleveland</v>
      </c>
      <c r="Q21" s="47" t="str">
        <v/>
      </c>
      <c r="R21" s="47" t="str">
        <v/>
      </c>
      <c r="S21" s="47" t="str">
        <v/>
      </c>
      <c r="T21" s="47" t="str">
        <v/>
      </c>
      <c r="U21" s="47" t="str">
        <v/>
      </c>
      <c r="V21" s="47" t="str">
        <v/>
      </c>
    </row>
    <row r="22" spans="13:22" x14ac:dyDescent="0.45">
      <c r="P22" s="48" t="str">
        <v>C0002</v>
      </c>
      <c r="Q22" s="47">
        <v>1233</v>
      </c>
      <c r="R22" s="47">
        <v>223</v>
      </c>
      <c r="S22" s="47">
        <v>1680</v>
      </c>
      <c r="T22" s="47">
        <v>990</v>
      </c>
      <c r="U22" s="47">
        <v>1508</v>
      </c>
      <c r="V22" s="47">
        <v>5634</v>
      </c>
    </row>
    <row r="23" spans="13:22" x14ac:dyDescent="0.45">
      <c r="P23" s="48" t="str">
        <v>C0007</v>
      </c>
      <c r="Q23" s="47">
        <v>1598</v>
      </c>
      <c r="R23" s="47">
        <v>1907</v>
      </c>
      <c r="S23" s="47">
        <v>869</v>
      </c>
      <c r="T23" s="47">
        <v>1426</v>
      </c>
      <c r="U23" s="47">
        <v>1416</v>
      </c>
      <c r="V23" s="47">
        <v>7216</v>
      </c>
    </row>
    <row r="24" spans="13:22" x14ac:dyDescent="0.45">
      <c r="P24" s="48" t="str">
        <v>C0008</v>
      </c>
      <c r="Q24" s="47">
        <v>900</v>
      </c>
      <c r="R24" s="47">
        <v>1016</v>
      </c>
      <c r="S24" s="47">
        <v>960</v>
      </c>
      <c r="T24" s="47">
        <v>940</v>
      </c>
      <c r="U24" s="47">
        <v>1193</v>
      </c>
      <c r="V24" s="47">
        <v>5009</v>
      </c>
    </row>
    <row r="25" spans="13:22" x14ac:dyDescent="0.45">
      <c r="P25" s="48" t="str">
        <v>C0010</v>
      </c>
      <c r="Q25" s="47">
        <v>900</v>
      </c>
      <c r="R25" s="47">
        <v>1470</v>
      </c>
      <c r="S25" s="47">
        <v>1617</v>
      </c>
      <c r="T25" s="47">
        <v>1314</v>
      </c>
      <c r="U25" s="47">
        <v>941</v>
      </c>
      <c r="V25" s="47">
        <v>6242</v>
      </c>
    </row>
    <row r="26" spans="13:22" ht="26.65" x14ac:dyDescent="0.85">
      <c r="M26" s="41" t="e" vm="6">
        <f>Pivots!J65</f>
        <v>#VALUE!</v>
      </c>
      <c r="P26" s="48" t="str">
        <v>C0013</v>
      </c>
      <c r="Q26" s="47">
        <v>1255</v>
      </c>
      <c r="R26" s="47">
        <v>516</v>
      </c>
      <c r="S26" s="47">
        <v>1874</v>
      </c>
      <c r="T26" s="47">
        <v>1863</v>
      </c>
      <c r="U26" s="47">
        <v>1722</v>
      </c>
      <c r="V26" s="47">
        <v>7230</v>
      </c>
    </row>
    <row r="27" spans="13:22" x14ac:dyDescent="0.45">
      <c r="M27" s="40" t="str">
        <f>Pivots!J60</f>
        <v>%ofcalls: 19%</v>
      </c>
      <c r="P27" s="48" t="str">
        <v>C0015</v>
      </c>
      <c r="Q27" s="47">
        <v>1138</v>
      </c>
      <c r="R27" s="47">
        <v>1898</v>
      </c>
      <c r="S27" s="47">
        <v>1482</v>
      </c>
      <c r="T27" s="47">
        <v>846</v>
      </c>
      <c r="U27" s="47">
        <v>1154</v>
      </c>
      <c r="V27" s="47">
        <v>6518</v>
      </c>
    </row>
    <row r="28" spans="13:22" ht="15.75" customHeight="1" x14ac:dyDescent="0.45">
      <c r="M28" s="40" t="str">
        <f>Pivots!J61</f>
        <v>Call rank: 4</v>
      </c>
      <c r="P28" s="44" t="str">
        <v>Columbus</v>
      </c>
      <c r="Q28" s="47" t="str">
        <v/>
      </c>
      <c r="R28" s="47" t="str">
        <v/>
      </c>
      <c r="S28" s="47" t="str">
        <v/>
      </c>
      <c r="T28" s="47" t="str">
        <v/>
      </c>
      <c r="U28" s="47" t="str">
        <v/>
      </c>
      <c r="V28" s="47" t="str">
        <v/>
      </c>
    </row>
    <row r="29" spans="13:22" ht="14.25" customHeight="1" x14ac:dyDescent="0.45">
      <c r="M29" s="40" t="str">
        <f>Pivots!J62</f>
        <v>Amount rank: 4</v>
      </c>
      <c r="P29" s="48" t="str">
        <v>C0001</v>
      </c>
      <c r="Q29" s="47">
        <v>1655</v>
      </c>
      <c r="R29" s="47">
        <v>805</v>
      </c>
      <c r="S29" s="47">
        <v>2263</v>
      </c>
      <c r="T29" s="47">
        <v>987</v>
      </c>
      <c r="U29" s="47">
        <v>1075</v>
      </c>
      <c r="V29" s="47">
        <v>6785</v>
      </c>
    </row>
    <row r="30" spans="13:22" x14ac:dyDescent="0.45">
      <c r="P30" s="48" t="str">
        <v>C0005</v>
      </c>
      <c r="Q30" s="47">
        <v>1104</v>
      </c>
      <c r="R30" s="47">
        <v>2280</v>
      </c>
      <c r="S30" s="47">
        <v>1445</v>
      </c>
      <c r="T30" s="47">
        <v>1722</v>
      </c>
      <c r="U30" s="47">
        <v>1196</v>
      </c>
      <c r="V30" s="47">
        <v>7747</v>
      </c>
    </row>
    <row r="31" spans="13:22" x14ac:dyDescent="0.45">
      <c r="P31" s="48" t="str">
        <v>C0006</v>
      </c>
      <c r="Q31" s="47">
        <v>372</v>
      </c>
      <c r="R31" s="47">
        <v>1818</v>
      </c>
      <c r="S31" s="47">
        <v>1346</v>
      </c>
      <c r="T31" s="47">
        <v>1156</v>
      </c>
      <c r="U31" s="47">
        <v>1484</v>
      </c>
      <c r="V31" s="47">
        <v>6176</v>
      </c>
    </row>
    <row r="32" spans="13:22" x14ac:dyDescent="0.45">
      <c r="P32" s="48" t="str">
        <v>C0009</v>
      </c>
      <c r="Q32" s="47">
        <v>1415</v>
      </c>
      <c r="R32" s="47">
        <v>1271</v>
      </c>
      <c r="S32" s="47">
        <v>1214</v>
      </c>
      <c r="T32" s="47">
        <v>1135</v>
      </c>
      <c r="U32" s="47">
        <v>1566</v>
      </c>
      <c r="V32" s="47">
        <v>6601</v>
      </c>
    </row>
    <row r="33" spans="16:22" x14ac:dyDescent="0.45">
      <c r="P33" s="48" t="str">
        <v>C0014</v>
      </c>
      <c r="Q33" s="47">
        <v>1362</v>
      </c>
      <c r="R33" s="47">
        <v>1363</v>
      </c>
      <c r="S33" s="47">
        <v>1152</v>
      </c>
      <c r="T33" s="47">
        <v>777</v>
      </c>
      <c r="U33" s="47">
        <v>750</v>
      </c>
      <c r="V33" s="47">
        <v>5404</v>
      </c>
    </row>
  </sheetData>
  <conditionalFormatting sqref="Q19:U33 S17:U18">
    <cfRule type="dataBar" priority="7">
      <dataBar>
        <cfvo type="num" val="0"/>
        <cfvo type="formula" val="MAX($Q$17:$U$33)*2.3"/>
        <color theme="1" tint="0.34998626667073579"/>
      </dataBar>
      <extLst>
        <ext xmlns:x14="http://schemas.microsoft.com/office/spreadsheetml/2009/9/main" uri="{B025F937-C7B1-47D3-B67F-A62EFF666E3E}">
          <x14:id>{3D8385A4-93A8-4A07-B900-21F9CC48E403}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EEF7507C-9374-4D95-B181-8285CFA42B41}">
            <xm:f>Pivots!$B$84:$F$102+Pivots!$B$84</xm:f>
            <x14:dxf>
              <fill>
                <patternFill>
                  <bgColor theme="6" tint="0.59996337778862885"/>
                </patternFill>
              </fill>
            </x14:dxf>
          </x14:cfRule>
          <xm:sqref>Q16:U33</xm:sqref>
        </x14:conditionalFormatting>
        <x14:conditionalFormatting xmlns:xm="http://schemas.microsoft.com/office/excel/2006/main">
          <x14:cfRule type="dataBar" id="{3D8385A4-93A8-4A07-B900-21F9CC48E403}">
            <x14:dataBar minLength="0" maxLength="100" gradient="0">
              <x14:cfvo type="num">
                <xm:f>0</xm:f>
              </x14:cfvo>
              <x14:cfvo type="formula">
                <xm:f>MAX($Q$17:$U$33)*2.3</xm:f>
              </x14:cfvo>
              <x14:negativeFillColor rgb="FFFF0000"/>
              <x14:axisColor rgb="FF000000"/>
            </x14:dataBar>
          </x14:cfRule>
          <xm:sqref>Q19:U33 S17:U18</xm:sqref>
        </x14:conditionalFormatting>
        <x14:conditionalFormatting xmlns:xm="http://schemas.microsoft.com/office/excel/2006/main">
          <x14:cfRule type="expression" priority="11" id="{76141EEF-87C1-4DC3-A1F9-DE82F7A7653D}">
            <xm:f>Q$15=Pivots!$A$51</xm:f>
            <x14:dxf>
              <fill>
                <patternFill>
                  <bgColor theme="3" tint="0.59996337778862885"/>
                </patternFill>
              </fill>
              <border>
                <left style="thin">
                  <color auto="1"/>
                </left>
                <right style="thin">
                  <color auto="1"/>
                </right>
                <top style="thin">
                  <color auto="1"/>
                </top>
                <bottom style="thin">
                  <color auto="1"/>
                </bottom>
                <vertical/>
                <horizontal/>
              </border>
            </x14:dxf>
          </x14:cfRule>
          <xm:sqref>Q15:U33</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dc:creator>
  <cp:lastModifiedBy>Vraj Shah</cp:lastModifiedBy>
  <dcterms:created xsi:type="dcterms:W3CDTF">2021-03-14T20:21:32Z</dcterms:created>
  <dcterms:modified xsi:type="dcterms:W3CDTF">2026-06-11T09:32:51Z</dcterms:modified>
</cp:coreProperties>
</file>